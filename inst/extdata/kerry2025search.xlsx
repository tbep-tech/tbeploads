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<sst xmlns="http://schemas.openxmlformats.org/spreadsheetml/2006/main" count="41" uniqueCount="41">
  <si>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File Type (Click to view)</t>
  </si>
  <si>
    <t xml:space="preserve">Type</t>
  </si>
  <si>
    <t xml:space="preserve">Profile</t>
  </si>
  <si>
    <t xml:space="preserve">Facility-Site ID</t>
  </si>
  <si>
    <t xml:space="preserve">Document Date</t>
  </si>
  <si>
    <t xml:space="preserve">Received Date</t>
  </si>
  <si>
    <t xml:space="preserve">Document Type</t>
  </si>
  <si>
    <t xml:space="preserve">Facility Type</t>
  </si>
  <si>
    <t xml:space="preserve">Application Number</t>
  </si>
  <si>
    <t xml:space="preserve">Permit Number</t>
  </si>
  <si>
    <t xml:space="preserve">Document Subject</t>
  </si>
  <si>
    <t xml:space="preserve">County</t>
  </si>
  <si>
    <t xml:space="preserve">District</t>
  </si>
  <si>
    <t xml:space="preserve">File Size</t>
  </si>
  <si>
    <t xml:space="preserve">Version</t>
  </si>
  <si>
    <t xml:space="preserve">Master</t>
  </si>
  <si>
    <t xml:space="preserve">Created</t>
  </si>
  <si>
    <t xml:space="preserve">Creator</t>
  </si>
  <si>
    <t xml:space="preserve">PreIndex ID</t>
  </si>
  <si>
    <t xml:space="preserve">Kofax Batch Name</t>
  </si>
  <si>
    <t xml:space="preserve">Document</t>
  </si>
  <si>
    <t xml:space="preserve">Sampling</t>
  </si>
  <si>
    <t xml:space="preserve">FL0037389</t>
  </si>
  <si>
    <t xml:space="preserve">01-01-2025</t>
  </si>
  <si>
    <t xml:space="preserve">DISCHARGE MONITORING REPORT (DMR)</t>
  </si>
  <si>
    <t xml:space="preserve">DMR 2025 JAN MO PART A (814395) D-001</t>
  </si>
  <si>
    <t xml:space="preserve">HILLSBOROUGH</t>
  </si>
  <si>
    <t xml:space="preserve">DMR 2025 FEB MO PART A (821457) D-001</t>
  </si>
  <si>
    <t xml:space="preserve">DMR 2025 MAR MO PART A (821595) D-001</t>
  </si>
  <si>
    <t xml:space="preserve">DMR 2025 APR MO PART A (831290) D-001</t>
  </si>
  <si>
    <t xml:space="preserve">DMR 2025 MAY MO PART A (818441) D-001</t>
  </si>
  <si>
    <t xml:space="preserve">DMR 2025 JUN MO PART A (820077) D-001</t>
  </si>
  <si>
    <t xml:space="preserve">DMR 2025 JUL MO PART A (809515) D-001</t>
  </si>
  <si>
    <t xml:space="preserve">DMR 2025 AUG MO PART A (814303) D-001</t>
  </si>
  <si>
    <t xml:space="preserve">DMR 2025 SEP MO PART A (849138) D-001</t>
  </si>
  <si>
    <t xml:space="preserve">DMR 2025 OCT MO PART A (834174) D-001</t>
  </si>
  <si>
    <t xml:space="preserve">DMR 2025 NOV MO PART A (809380) D-001</t>
  </si>
  <si>
    <t xml:space="preserve">DMR 2025 DEC MO PART A (808987) D-001</t>
  </si>
  <si>
    <t xml:space="preserve">DMR (R) 2025 APR MO PART A (823039) D-001</t>
  </si>
  <si>
    <t xml:space="preserve">DMR 2025 JAN YR PART A (805234) D-001</t>
  </si>
  <si>
    <t xml:space="preserve">DMR (R) 2025 JAN YR PART A (829296) 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</si>
</sst>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s="1" t="str">
        <f>=HYPERLINK("https://depedms.dep.state.fl.us:443/Oculus/servlet/shell?command=view&amp;[guid=38.1000001.1]&amp;[profile=Sampling]","View Document (.pdf)")</f>
      </c>
      <c r="B2" t="s">
        <v>20</v>
      </c>
      <c r="C2" t="s">
        <v>21</v>
      </c>
      <c r="D2" t="s">
        <v>22</v>
      </c>
      <c r="E2" t="s">
        <v>23</v>
      </c>
      <c r="G2" t="s">
        <v>24</v>
      </c>
      <c r="K2" t="s">
        <v>25</v>
      </c>
      <c r="L2" t="s">
        <v>26</v>
      </c>
    </row>
    <row r="3">
      <c r="A3" s="1" t="str">
        <f>=HYPERLINK("https://depedms.dep.state.fl.us:443/Oculus/servlet/shell?command=view&amp;[guid=38.1000002.1]&amp;[profile=Sampling]","View Document (.pdf)")</f>
      </c>
      <c r="B3" t="s">
        <v>20</v>
      </c>
      <c r="C3" t="s">
        <v>21</v>
      </c>
      <c r="D3" t="s">
        <v>22</v>
      </c>
      <c r="E3" t="s">
        <v>23</v>
      </c>
      <c r="G3" t="s">
        <v>24</v>
      </c>
      <c r="K3" t="s">
        <v>27</v>
      </c>
      <c r="L3" t="s">
        <v>26</v>
      </c>
    </row>
    <row r="4">
      <c r="A4" s="1" t="str">
        <f>=HYPERLINK("https://depedms.dep.state.fl.us:443/Oculus/servlet/shell?command=view&amp;[guid=38.1000003.1]&amp;[profile=Sampling]","View Document (.pdf)")</f>
      </c>
      <c r="B4" t="s">
        <v>20</v>
      </c>
      <c r="C4" t="s">
        <v>21</v>
      </c>
      <c r="D4" t="s">
        <v>22</v>
      </c>
      <c r="E4" t="s">
        <v>23</v>
      </c>
      <c r="G4" t="s">
        <v>24</v>
      </c>
      <c r="K4" t="s">
        <v>28</v>
      </c>
      <c r="L4" t="s">
        <v>26</v>
      </c>
    </row>
    <row r="5">
      <c r="A5" s="1" t="str">
        <f>=HYPERLINK("https://depedms.dep.state.fl.us:443/Oculus/servlet/shell?command=view&amp;[guid=38.1000004.1]&amp;[profile=Sampling]","View Document (.pdf)")</f>
      </c>
      <c r="B5" t="s">
        <v>20</v>
      </c>
      <c r="C5" t="s">
        <v>21</v>
      </c>
      <c r="D5" t="s">
        <v>22</v>
      </c>
      <c r="E5" t="s">
        <v>23</v>
      </c>
      <c r="G5" t="s">
        <v>24</v>
      </c>
      <c r="K5" t="s">
        <v>29</v>
      </c>
      <c r="L5" t="s">
        <v>26</v>
      </c>
    </row>
    <row r="6">
      <c r="A6" s="1" t="str">
        <f>=HYPERLINK("https://depedms.dep.state.fl.us:443/Oculus/servlet/shell?command=view&amp;[guid=38.1000005.1]&amp;[profile=Sampling]","View Document (.pdf)")</f>
      </c>
      <c r="B6" t="s">
        <v>20</v>
      </c>
      <c r="C6" t="s">
        <v>21</v>
      </c>
      <c r="D6" t="s">
        <v>22</v>
      </c>
      <c r="E6" t="s">
        <v>23</v>
      </c>
      <c r="G6" t="s">
        <v>24</v>
      </c>
      <c r="K6" t="s">
        <v>30</v>
      </c>
      <c r="L6" t="s">
        <v>26</v>
      </c>
    </row>
    <row r="7">
      <c r="A7" s="1" t="str">
        <f>=HYPERLINK("https://depedms.dep.state.fl.us:443/Oculus/servlet/shell?command=view&amp;[guid=38.1000006.1]&amp;[profile=Sampling]","View Document (.pdf)")</f>
      </c>
      <c r="B7" t="s">
        <v>20</v>
      </c>
      <c r="C7" t="s">
        <v>21</v>
      </c>
      <c r="D7" t="s">
        <v>22</v>
      </c>
      <c r="E7" t="s">
        <v>23</v>
      </c>
      <c r="G7" t="s">
        <v>24</v>
      </c>
      <c r="K7" t="s">
        <v>31</v>
      </c>
      <c r="L7" t="s">
        <v>26</v>
      </c>
    </row>
    <row r="8">
      <c r="A8" s="1" t="str">
        <f>=HYPERLINK("https://depedms.dep.state.fl.us:443/Oculus/servlet/shell?command=view&amp;[guid=38.1000007.1]&amp;[profile=Sampling]","View Document (.pdf)")</f>
      </c>
      <c r="B8" t="s">
        <v>20</v>
      </c>
      <c r="C8" t="s">
        <v>21</v>
      </c>
      <c r="D8" t="s">
        <v>22</v>
      </c>
      <c r="E8" t="s">
        <v>23</v>
      </c>
      <c r="G8" t="s">
        <v>24</v>
      </c>
      <c r="K8" t="s">
        <v>32</v>
      </c>
      <c r="L8" t="s">
        <v>26</v>
      </c>
    </row>
    <row r="9">
      <c r="A9" s="1" t="str">
        <f>=HYPERLINK("https://depedms.dep.state.fl.us:443/Oculus/servlet/shell?command=view&amp;[guid=38.1000008.1]&amp;[profile=Sampling]","View Document (.pdf)")</f>
      </c>
      <c r="B9" t="s">
        <v>20</v>
      </c>
      <c r="C9" t="s">
        <v>21</v>
      </c>
      <c r="D9" t="s">
        <v>22</v>
      </c>
      <c r="E9" t="s">
        <v>23</v>
      </c>
      <c r="G9" t="s">
        <v>24</v>
      </c>
      <c r="K9" t="s">
        <v>33</v>
      </c>
      <c r="L9" t="s">
        <v>26</v>
      </c>
    </row>
    <row r="10">
      <c r="A10" s="1" t="str">
        <f>=HYPERLINK("https://depedms.dep.state.fl.us:443/Oculus/servlet/shell?command=view&amp;[guid=38.1000009.1]&amp;[profile=Sampling]","View Document (.pdf)")</f>
      </c>
      <c r="B10" t="s">
        <v>20</v>
      </c>
      <c r="C10" t="s">
        <v>21</v>
      </c>
      <c r="D10" t="s">
        <v>22</v>
      </c>
      <c r="E10" t="s">
        <v>23</v>
      </c>
      <c r="G10" t="s">
        <v>24</v>
      </c>
      <c r="K10" t="s">
        <v>34</v>
      </c>
      <c r="L10" t="s">
        <v>26</v>
      </c>
    </row>
    <row r="11">
      <c r="A11" s="1" t="str">
        <f>=HYPERLINK("https://depedms.dep.state.fl.us:443/Oculus/servlet/shell?command=view&amp;[guid=38.1000010.1]&amp;[profile=Sampling]","View Document (.pdf)")</f>
      </c>
      <c r="B11" t="s">
        <v>20</v>
      </c>
      <c r="C11" t="s">
        <v>21</v>
      </c>
      <c r="D11" t="s">
        <v>22</v>
      </c>
      <c r="E11" t="s">
        <v>23</v>
      </c>
      <c r="G11" t="s">
        <v>24</v>
      </c>
      <c r="K11" t="s">
        <v>35</v>
      </c>
      <c r="L11" t="s">
        <v>26</v>
      </c>
    </row>
    <row r="12">
      <c r="A12" s="1" t="str">
        <f>=HYPERLINK("https://depedms.dep.state.fl.us:443/Oculus/servlet/shell?command=view&amp;[guid=38.1000011.1]&amp;[profile=Sampling]","View Document (.pdf)")</f>
      </c>
      <c r="B12" t="s">
        <v>20</v>
      </c>
      <c r="C12" t="s">
        <v>21</v>
      </c>
      <c r="D12" t="s">
        <v>22</v>
      </c>
      <c r="E12" t="s">
        <v>23</v>
      </c>
      <c r="G12" t="s">
        <v>24</v>
      </c>
      <c r="K12" t="s">
        <v>36</v>
      </c>
      <c r="L12" t="s">
        <v>26</v>
      </c>
    </row>
    <row r="13">
      <c r="A13" s="1" t="str">
        <f>=HYPERLINK("https://depedms.dep.state.fl.us:443/Oculus/servlet/shell?command=view&amp;[guid=38.1000012.1]&amp;[profile=Sampling]","View Document (.pdf)")</f>
      </c>
      <c r="B13" t="s">
        <v>20</v>
      </c>
      <c r="C13" t="s">
        <v>21</v>
      </c>
      <c r="D13" t="s">
        <v>22</v>
      </c>
      <c r="E13" t="s">
        <v>23</v>
      </c>
      <c r="G13" t="s">
        <v>24</v>
      </c>
      <c r="K13" t="s">
        <v>37</v>
      </c>
      <c r="L13" t="s">
        <v>26</v>
      </c>
    </row>
    <row r="14">
      <c r="A14" s="1" t="str">
        <f>=HYPERLINK("https://depedms.dep.state.fl.us:443/Oculus/servlet/shell?command=view&amp;[guid=38.1000013.1]&amp;[profile=Sampling]","View Document (.pdf)")</f>
      </c>
      <c r="B14" t="s">
        <v>20</v>
      </c>
      <c r="C14" t="s">
        <v>21</v>
      </c>
      <c r="D14" t="s">
        <v>22</v>
      </c>
      <c r="E14" t="s">
        <v>23</v>
      </c>
      <c r="G14" t="s">
        <v>24</v>
      </c>
      <c r="K14" t="s">
        <v>38</v>
      </c>
      <c r="L14" t="s">
        <v>26</v>
      </c>
    </row>
    <row r="15">
      <c r="A15" s="1" t="str">
        <f>=HYPERLINK("https://depedms.dep.state.fl.us:443/Oculus/servlet/shell?command=view&amp;[guid=38.1000014.1]&amp;[profile=Sampling]","View Document (.pdf)")</f>
      </c>
      <c r="B15" t="s">
        <v>20</v>
      </c>
      <c r="C15" t="s">
        <v>21</v>
      </c>
      <c r="D15" t="s">
        <v>22</v>
      </c>
      <c r="E15" t="s">
        <v>23</v>
      </c>
      <c r="G15" t="s">
        <v>24</v>
      </c>
      <c r="K15" t="s">
        <v>39</v>
      </c>
      <c r="L15" t="s">
        <v>26</v>
      </c>
    </row>
    <row r="16">
      <c r="A16" s="1" t="str">
        <f>=HYPERLINK("https://depedms.dep.state.fl.us:443/Oculus/servlet/shell?command=view&amp;[guid=38.1000015.1]&amp;[profile=Sampling]","View Document (.pdf)")</f>
      </c>
      <c r="B16" t="s">
        <v>20</v>
      </c>
      <c r="C16" t="s">
        <v>21</v>
      </c>
      <c r="D16" t="s">
        <v>22</v>
      </c>
      <c r="E16" t="s">
        <v>23</v>
      </c>
      <c r="G16" t="s">
        <v>24</v>
      </c>
      <c r="K16" t="s">
        <v>40</v>
      </c>
      <c r="L1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mbeck</dc:creator>
  <cp:lastModifiedBy>mbeck</cp:lastModifiedBy>
  <dcterms:created xsi:type="dcterms:W3CDTF">2026-07-22T18:24:17Z</dcterms:created>
</coreProperties>
</file>