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eck\Desktop\"/>
    </mc:Choice>
  </mc:AlternateContent>
  <xr:revisionPtr revIDLastSave="0" documentId="13_ncr:1_{987BF432-5083-4FF7-94BB-F693C73C7E93}" xr6:coauthVersionLast="47" xr6:coauthVersionMax="47" xr10:uidLastSave="{00000000-0000-0000-0000-000000000000}"/>
  <bookViews>
    <workbookView xWindow="1668" yWindow="1080" windowWidth="21072" windowHeight="10836" xr2:uid="{00000000-000D-0000-FFFF-FFFF00000000}"/>
  </bookViews>
  <sheets>
    <sheet name="Search Results" sheetId="1" r:id="rId1"/>
    <sheet name="Search Criteri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" i="1" l="1"/>
  <c r="A28" i="1"/>
  <c r="A27" i="1"/>
  <c r="A29" i="1"/>
  <c r="A24" i="1"/>
  <c r="A23" i="1"/>
  <c r="A26" i="1"/>
  <c r="A25" i="1"/>
  <c r="A22" i="1"/>
  <c r="A21" i="1"/>
  <c r="A20" i="1"/>
  <c r="A19" i="1"/>
  <c r="A18" i="1"/>
  <c r="A17" i="1"/>
  <c r="A16" i="1"/>
  <c r="A15" i="1"/>
  <c r="A14" i="1"/>
  <c r="A13" i="1"/>
  <c r="A12" i="1"/>
  <c r="A10" i="1"/>
  <c r="A9" i="1"/>
  <c r="A11" i="1"/>
  <c r="A6" i="1"/>
  <c r="A8" i="1"/>
  <c r="A5" i="1"/>
  <c r="A7" i="1"/>
  <c r="A4" i="1"/>
  <c r="A3" i="1"/>
  <c r="A2" i="1"/>
  <c r="A32" i="1"/>
  <c r="A31" i="1"/>
</calcChain>
</file>

<file path=xl/sharedStrings.xml><?xml version="1.0" encoding="utf-8"?>
<sst xmlns="http://schemas.openxmlformats.org/spreadsheetml/2006/main" count="624" uniqueCount="109">
  <si>
    <t>File Type (Click to view)</t>
  </si>
  <si>
    <t>Type</t>
  </si>
  <si>
    <t>Profile</t>
  </si>
  <si>
    <t>Facility-Site ID</t>
  </si>
  <si>
    <t>Document Date</t>
  </si>
  <si>
    <t>Received Date</t>
  </si>
  <si>
    <t>Document Type</t>
  </si>
  <si>
    <t>Facility Type</t>
  </si>
  <si>
    <t>Application Number</t>
  </si>
  <si>
    <t>Permit Number</t>
  </si>
  <si>
    <t>Document Subject</t>
  </si>
  <si>
    <t>County</t>
  </si>
  <si>
    <t>District</t>
  </si>
  <si>
    <t>File Size</t>
  </si>
  <si>
    <t>Version</t>
  </si>
  <si>
    <t>Master</t>
  </si>
  <si>
    <t>Created</t>
  </si>
  <si>
    <t>Creator</t>
  </si>
  <si>
    <t>PreIndex ID</t>
  </si>
  <si>
    <t>Kofax Batch Name</t>
  </si>
  <si>
    <t>Document</t>
  </si>
  <si>
    <t>Sampling</t>
  </si>
  <si>
    <t>FLA012124</t>
  </si>
  <si>
    <t>12-01-2025</t>
  </si>
  <si>
    <t>01-21-2026</t>
  </si>
  <si>
    <t>DISCHARGE MONITORING REPORTS RELATED</t>
  </si>
  <si>
    <t>DOMESTIC WASTEWATER</t>
  </si>
  <si>
    <t/>
  </si>
  <si>
    <t>DMR 2025 DEC MO PART A (838213) R-001 R-002 R-003 RMP-Q</t>
  </si>
  <si>
    <t>HILLSBOROUGH</t>
  </si>
  <si>
    <t>SWD</t>
  </si>
  <si>
    <t>77 KB</t>
  </si>
  <si>
    <t>1.0</t>
  </si>
  <si>
    <t>Y</t>
  </si>
  <si>
    <t>OTIS_INSERT</t>
  </si>
  <si>
    <t>07-01-2025</t>
  </si>
  <si>
    <t>DMR 2025 DEC MO PART B (838213)</t>
  </si>
  <si>
    <t>191 KB</t>
  </si>
  <si>
    <t>01-01-2025</t>
  </si>
  <si>
    <t>02-12-2026</t>
  </si>
  <si>
    <t>DMR 2025 JAN YR PART A (801164) RWS-A</t>
  </si>
  <si>
    <t>145 KB</t>
  </si>
  <si>
    <t>03-05-2025</t>
  </si>
  <si>
    <t>DMR 2025 JAN MO PART A (801160) R-001 R-002 R-003 RMP-Q</t>
  </si>
  <si>
    <t>03-06-2025</t>
  </si>
  <si>
    <t>02-01-2025</t>
  </si>
  <si>
    <t>04-08-2025</t>
  </si>
  <si>
    <t>DMR 2025 FEB MO PART A (801161) R-001 R-002 R-003 RMP-Q</t>
  </si>
  <si>
    <t>04-01-2025</t>
  </si>
  <si>
    <t>05-27-2025</t>
  </si>
  <si>
    <t>DMR (R) 2025 APR MO PART A (822994) R-001 R-002 R-003 RMP-Q</t>
  </si>
  <si>
    <t>05-28-2025</t>
  </si>
  <si>
    <t>03-01-2025</t>
  </si>
  <si>
    <t>04-28-2025</t>
  </si>
  <si>
    <t>DMR (R) 2025 MAR MO PART A (821984) R-001 R-002 R-003 RMP-Q</t>
  </si>
  <si>
    <t>05-01-2025</t>
  </si>
  <si>
    <t>DMR 2025 APR MO PART A (805793) R-001 R-002 R-003 RMP-Q</t>
  </si>
  <si>
    <t>DMR 2025 MAR MO PART A (801162) R-001 R-002 R-003 RMP-Q</t>
  </si>
  <si>
    <t>04-29-2025</t>
  </si>
  <si>
    <t>06-01-2025</t>
  </si>
  <si>
    <t>07-28-2025</t>
  </si>
  <si>
    <t>DMR 2025 JUN MO PART B (815721)</t>
  </si>
  <si>
    <t>190 KB</t>
  </si>
  <si>
    <t>06-27-2025</t>
  </si>
  <si>
    <t>DMR 2025 MAY MO PART A (810603) R-001 R-002 R-003 RMP-Q</t>
  </si>
  <si>
    <t>DMR (R) 2025 MAY MO PART A (828632) R-001 R-002 R-003 RMP-Q</t>
  </si>
  <si>
    <t>07-03-2025</t>
  </si>
  <si>
    <t>DMR 2025 JUN MO PART B (829424)</t>
  </si>
  <si>
    <t>139 KB</t>
  </si>
  <si>
    <t>07-31-2025</t>
  </si>
  <si>
    <t>DMR (R) 2025 JUN MO PART A (829424) R-001 R-002 R-003 RMP-Q</t>
  </si>
  <si>
    <t>80 KB</t>
  </si>
  <si>
    <t>DMR 2025 JUN MO JUNE25 (829424)</t>
  </si>
  <si>
    <t>DMR 2025 JUN MO JUNE25 (815721)</t>
  </si>
  <si>
    <t>DMR 2025 JUN MO PART A (815721) R-001 R-002 R-003 RMP-Q</t>
  </si>
  <si>
    <t>08-28-2025</t>
  </si>
  <si>
    <t>DMR 2025 JUL MO PART B (825329)</t>
  </si>
  <si>
    <t>189 KB</t>
  </si>
  <si>
    <t>DMR 2025 JUL MO PART A (825329) R-001 R-002 R-003 RMP-Q</t>
  </si>
  <si>
    <t>78 KB</t>
  </si>
  <si>
    <t>08-01-2025</t>
  </si>
  <si>
    <t>09-25-2025</t>
  </si>
  <si>
    <t>DMR (R) 2025 AUG MO PART A (834366) R-001 R-002 R-003 RMP-Q</t>
  </si>
  <si>
    <t>DMR 2025 AUG MO PART B (834366)</t>
  </si>
  <si>
    <t>DMR 2025 AUG MO PART B (825330)</t>
  </si>
  <si>
    <t>DMR 2025 AUG MO PART A (825330) R-001 R-002 R-003 RMP-Q</t>
  </si>
  <si>
    <t>09-01-2025</t>
  </si>
  <si>
    <t>10-23-2025</t>
  </si>
  <si>
    <t>DMR 2025 SEP MO PART B (825331)</t>
  </si>
  <si>
    <t>192 KB</t>
  </si>
  <si>
    <t>DMR 2025 SEP MO PART A (825331) R-001 R-002 R-003 RMP-Q</t>
  </si>
  <si>
    <t>10-16-2025</t>
  </si>
  <si>
    <t>DMR 2025 AUG MO PART B (837611)</t>
  </si>
  <si>
    <t>DMR (R) 2025 AUG MO PART A (837611) R-001 R-002 R-003 RMP-Q</t>
  </si>
  <si>
    <t>11-01-2025</t>
  </si>
  <si>
    <t>12-19-2025</t>
  </si>
  <si>
    <t>DMR 2025 NOV MO PART A (831208) R-001 R-002 R-003 RMP-Q</t>
  </si>
  <si>
    <t>10-01-2025</t>
  </si>
  <si>
    <t>11-28-2025</t>
  </si>
  <si>
    <t>DMR 2025 OCT MO PART A (831207) R-001 R-002 R-003 RMP-Q</t>
  </si>
  <si>
    <t>DMR 2025 OCT MO PART B (831207)</t>
  </si>
  <si>
    <t>DMR 2025 NOV MO PART B (831208)</t>
  </si>
  <si>
    <t>Search Criteria</t>
  </si>
  <si>
    <t>Properties</t>
  </si>
  <si>
    <t>Values</t>
  </si>
  <si>
    <t>Catalog</t>
  </si>
  <si>
    <t>Wastewater</t>
  </si>
  <si>
    <t>Profiles</t>
  </si>
  <si>
    <t>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</si>
</sst>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7CEFA"/>
      </patternFill>
    </fill>
    <fill>
      <patternFill patternType="none">
        <bgColor indexed="31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3" borderId="0" xfId="0" applyFont="1" applyFill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4.4" x14ac:dyDescent="0.3"/>
  <cols>
    <col min="1" max="1" width="22.33203125" customWidth="1"/>
    <col min="2" max="2" width="10.21875" customWidth="1"/>
    <col min="3" max="3" width="9.109375" customWidth="1"/>
    <col min="4" max="4" width="13.88671875" customWidth="1"/>
    <col min="5" max="5" width="15.21875" customWidth="1"/>
    <col min="6" max="6" width="14" customWidth="1"/>
    <col min="7" max="7" width="41.21875" customWidth="1"/>
    <col min="8" max="8" width="23.88671875" customWidth="1"/>
    <col min="9" max="9" width="19.44140625" customWidth="1"/>
    <col min="10" max="10" width="15" customWidth="1"/>
    <col min="11" max="11" width="57.6640625" customWidth="1"/>
    <col min="12" max="12" width="15.109375" customWidth="1"/>
    <col min="13" max="13" width="7.44140625" customWidth="1"/>
    <col min="14" max="14" width="8.109375" customWidth="1"/>
    <col min="15" max="15" width="8" customWidth="1"/>
    <col min="16" max="16" width="7.44140625" customWidth="1"/>
    <col min="17" max="17" width="11.21875" customWidth="1"/>
    <col min="18" max="18" width="12.44140625" customWidth="1"/>
    <col min="19" max="19" width="11.44140625" customWidth="1"/>
    <col min="20" max="20" width="17.66406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3" t="str">
        <f>HYPERLINK("https://depedms.dep.state.fl.us:443/Oculus/servlet/shell?command=view&amp;[guid=38.1469891.1]&amp;[profile=Sampling]","View Document (.pdf)")</f>
        <v>View Document (.pdf)</v>
      </c>
      <c r="B2" t="s">
        <v>20</v>
      </c>
      <c r="C2" t="s">
        <v>21</v>
      </c>
      <c r="D2" t="s">
        <v>22</v>
      </c>
      <c r="E2" t="s">
        <v>38</v>
      </c>
      <c r="F2" t="s">
        <v>39</v>
      </c>
      <c r="G2" t="s">
        <v>25</v>
      </c>
      <c r="H2" t="s">
        <v>26</v>
      </c>
      <c r="I2" t="s">
        <v>27</v>
      </c>
      <c r="J2" t="s">
        <v>27</v>
      </c>
      <c r="K2" t="s">
        <v>40</v>
      </c>
      <c r="L2" t="s">
        <v>29</v>
      </c>
      <c r="M2" t="s">
        <v>30</v>
      </c>
      <c r="N2" t="s">
        <v>41</v>
      </c>
      <c r="O2" t="s">
        <v>32</v>
      </c>
      <c r="P2" t="s">
        <v>33</v>
      </c>
      <c r="Q2" t="s">
        <v>39</v>
      </c>
      <c r="R2" t="s">
        <v>34</v>
      </c>
      <c r="S2" t="s">
        <v>27</v>
      </c>
      <c r="T2" t="s">
        <v>27</v>
      </c>
    </row>
    <row r="3" spans="1:20" x14ac:dyDescent="0.3">
      <c r="A3" s="3" t="str">
        <f>HYPERLINK("https://depedms.dep.state.fl.us:443/Oculus/servlet/shell?command=view&amp;[guid=38.1373744.1]&amp;[profile=Sampling]","View Document (.pdf)")</f>
        <v>View Document (.pdf)</v>
      </c>
      <c r="B3" t="s">
        <v>20</v>
      </c>
      <c r="C3" t="s">
        <v>21</v>
      </c>
      <c r="D3" t="s">
        <v>22</v>
      </c>
      <c r="E3" t="s">
        <v>38</v>
      </c>
      <c r="F3" t="s">
        <v>42</v>
      </c>
      <c r="G3" t="s">
        <v>25</v>
      </c>
      <c r="H3" t="s">
        <v>26</v>
      </c>
      <c r="I3" t="s">
        <v>27</v>
      </c>
      <c r="J3" t="s">
        <v>27</v>
      </c>
      <c r="K3" t="s">
        <v>43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 t="s">
        <v>44</v>
      </c>
      <c r="R3" t="s">
        <v>34</v>
      </c>
      <c r="S3" t="s">
        <v>27</v>
      </c>
      <c r="T3" t="s">
        <v>27</v>
      </c>
    </row>
    <row r="4" spans="1:20" x14ac:dyDescent="0.3">
      <c r="A4" s="3" t="str">
        <f>HYPERLINK("https://depedms.dep.state.fl.us:443/Oculus/servlet/shell?command=view&amp;[guid=38.1383048.1]&amp;[profile=Sampling]","View Document (.pdf)")</f>
        <v>View Document (.pdf)</v>
      </c>
      <c r="B4" t="s">
        <v>20</v>
      </c>
      <c r="C4" t="s">
        <v>21</v>
      </c>
      <c r="D4" t="s">
        <v>22</v>
      </c>
      <c r="E4" t="s">
        <v>45</v>
      </c>
      <c r="F4" t="s">
        <v>46</v>
      </c>
      <c r="G4" t="s">
        <v>25</v>
      </c>
      <c r="H4" t="s">
        <v>26</v>
      </c>
      <c r="I4" t="s">
        <v>27</v>
      </c>
      <c r="J4" t="s">
        <v>27</v>
      </c>
      <c r="K4" t="s">
        <v>47</v>
      </c>
      <c r="L4" t="s">
        <v>29</v>
      </c>
      <c r="M4" t="s">
        <v>30</v>
      </c>
      <c r="N4" t="s">
        <v>31</v>
      </c>
      <c r="O4" t="s">
        <v>32</v>
      </c>
      <c r="P4" t="s">
        <v>33</v>
      </c>
      <c r="Q4" t="s">
        <v>46</v>
      </c>
      <c r="R4" t="s">
        <v>34</v>
      </c>
      <c r="S4" t="s">
        <v>27</v>
      </c>
      <c r="T4" t="s">
        <v>27</v>
      </c>
    </row>
    <row r="5" spans="1:20" x14ac:dyDescent="0.3">
      <c r="A5" s="3" t="str">
        <f>HYPERLINK("https://depedms.dep.state.fl.us:443/Oculus/servlet/shell?command=view&amp;[guid=38.1390588.1]&amp;[profile=Sampling]","View Document (.pdf)")</f>
        <v>View Document (.pdf)</v>
      </c>
      <c r="B5" t="s">
        <v>20</v>
      </c>
      <c r="C5" t="s">
        <v>21</v>
      </c>
      <c r="D5" t="s">
        <v>22</v>
      </c>
      <c r="E5" t="s">
        <v>52</v>
      </c>
      <c r="F5" t="s">
        <v>53</v>
      </c>
      <c r="G5" t="s">
        <v>25</v>
      </c>
      <c r="H5" t="s">
        <v>26</v>
      </c>
      <c r="I5" t="s">
        <v>27</v>
      </c>
      <c r="J5" t="s">
        <v>27</v>
      </c>
      <c r="K5" t="s">
        <v>54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55</v>
      </c>
      <c r="R5" t="s">
        <v>34</v>
      </c>
      <c r="S5" t="s">
        <v>27</v>
      </c>
      <c r="T5" t="s">
        <v>27</v>
      </c>
    </row>
    <row r="6" spans="1:20" x14ac:dyDescent="0.3">
      <c r="A6" s="3" t="str">
        <f>HYPERLINK("https://depedms.dep.state.fl.us:443/Oculus/servlet/shell?command=view&amp;[guid=38.1389797.1]&amp;[profile=Sampling]","View Document (.pdf)")</f>
        <v>View Document (.pdf)</v>
      </c>
      <c r="B6" t="s">
        <v>20</v>
      </c>
      <c r="C6" t="s">
        <v>21</v>
      </c>
      <c r="D6" t="s">
        <v>22</v>
      </c>
      <c r="E6" t="s">
        <v>52</v>
      </c>
      <c r="F6" t="s">
        <v>53</v>
      </c>
      <c r="G6" t="s">
        <v>25</v>
      </c>
      <c r="H6" t="s">
        <v>26</v>
      </c>
      <c r="I6" t="s">
        <v>27</v>
      </c>
      <c r="J6" t="s">
        <v>27</v>
      </c>
      <c r="K6" t="s">
        <v>57</v>
      </c>
      <c r="L6" t="s">
        <v>29</v>
      </c>
      <c r="M6" t="s">
        <v>30</v>
      </c>
      <c r="N6" t="s">
        <v>31</v>
      </c>
      <c r="O6" t="s">
        <v>32</v>
      </c>
      <c r="P6" t="s">
        <v>33</v>
      </c>
      <c r="Q6" t="s">
        <v>58</v>
      </c>
      <c r="R6" t="s">
        <v>34</v>
      </c>
      <c r="S6" t="s">
        <v>27</v>
      </c>
      <c r="T6" t="s">
        <v>27</v>
      </c>
    </row>
    <row r="7" spans="1:20" x14ac:dyDescent="0.3">
      <c r="A7" s="3" t="str">
        <f>HYPERLINK("https://depedms.dep.state.fl.us:443/Oculus/servlet/shell?command=view&amp;[guid=38.1397662.1]&amp;[profile=Sampling]","View Document (.pdf)")</f>
        <v>View Document (.pdf)</v>
      </c>
      <c r="B7" t="s">
        <v>20</v>
      </c>
      <c r="C7" t="s">
        <v>21</v>
      </c>
      <c r="D7" t="s">
        <v>22</v>
      </c>
      <c r="E7" t="s">
        <v>48</v>
      </c>
      <c r="F7" t="s">
        <v>49</v>
      </c>
      <c r="G7" t="s">
        <v>25</v>
      </c>
      <c r="H7" t="s">
        <v>26</v>
      </c>
      <c r="I7" t="s">
        <v>27</v>
      </c>
      <c r="J7" t="s">
        <v>27</v>
      </c>
      <c r="K7" t="s">
        <v>50</v>
      </c>
      <c r="L7" t="s">
        <v>29</v>
      </c>
      <c r="M7" t="s">
        <v>30</v>
      </c>
      <c r="N7" t="s">
        <v>31</v>
      </c>
      <c r="O7" t="s">
        <v>32</v>
      </c>
      <c r="P7" t="s">
        <v>33</v>
      </c>
      <c r="Q7" t="s">
        <v>51</v>
      </c>
      <c r="R7" t="s">
        <v>34</v>
      </c>
      <c r="S7" t="s">
        <v>27</v>
      </c>
      <c r="T7" t="s">
        <v>27</v>
      </c>
    </row>
    <row r="8" spans="1:20" x14ac:dyDescent="0.3">
      <c r="A8" s="3" t="str">
        <f>HYPERLINK("https://depedms.dep.state.fl.us:443/Oculus/servlet/shell?command=view&amp;[guid=38.1397022.1]&amp;[profile=Sampling]","View Document (.pdf)")</f>
        <v>View Document (.pdf)</v>
      </c>
      <c r="B8" t="s">
        <v>20</v>
      </c>
      <c r="C8" t="s">
        <v>21</v>
      </c>
      <c r="D8" t="s">
        <v>22</v>
      </c>
      <c r="E8" t="s">
        <v>48</v>
      </c>
      <c r="F8" t="s">
        <v>49</v>
      </c>
      <c r="G8" t="s">
        <v>25</v>
      </c>
      <c r="H8" t="s">
        <v>26</v>
      </c>
      <c r="I8" t="s">
        <v>27</v>
      </c>
      <c r="J8" t="s">
        <v>27</v>
      </c>
      <c r="K8" t="s">
        <v>56</v>
      </c>
      <c r="L8" t="s">
        <v>29</v>
      </c>
      <c r="M8" t="s">
        <v>30</v>
      </c>
      <c r="N8" t="s">
        <v>31</v>
      </c>
      <c r="O8" t="s">
        <v>32</v>
      </c>
      <c r="P8" t="s">
        <v>33</v>
      </c>
      <c r="Q8" t="s">
        <v>49</v>
      </c>
      <c r="R8" t="s">
        <v>34</v>
      </c>
      <c r="S8" t="s">
        <v>27</v>
      </c>
      <c r="T8" t="s">
        <v>27</v>
      </c>
    </row>
    <row r="9" spans="1:20" x14ac:dyDescent="0.3">
      <c r="A9" s="3" t="str">
        <f>HYPERLINK("https://depedms.dep.state.fl.us:443/Oculus/servlet/shell?command=view&amp;[guid=38.1406471.1]&amp;[profile=Sampling]","View Document (.pdf)")</f>
        <v>View Document (.pdf)</v>
      </c>
      <c r="B9" t="s">
        <v>20</v>
      </c>
      <c r="C9" t="s">
        <v>21</v>
      </c>
      <c r="D9" t="s">
        <v>22</v>
      </c>
      <c r="E9" t="s">
        <v>55</v>
      </c>
      <c r="F9" t="s">
        <v>63</v>
      </c>
      <c r="G9" t="s">
        <v>25</v>
      </c>
      <c r="H9" t="s">
        <v>26</v>
      </c>
      <c r="I9" t="s">
        <v>27</v>
      </c>
      <c r="J9" t="s">
        <v>27</v>
      </c>
      <c r="K9" t="s">
        <v>64</v>
      </c>
      <c r="L9" t="s">
        <v>29</v>
      </c>
      <c r="M9" t="s">
        <v>30</v>
      </c>
      <c r="N9" t="s">
        <v>31</v>
      </c>
      <c r="O9" t="s">
        <v>32</v>
      </c>
      <c r="P9" t="s">
        <v>33</v>
      </c>
      <c r="Q9" t="s">
        <v>35</v>
      </c>
      <c r="R9" t="s">
        <v>34</v>
      </c>
      <c r="S9" t="s">
        <v>27</v>
      </c>
      <c r="T9" t="s">
        <v>27</v>
      </c>
    </row>
    <row r="10" spans="1:20" x14ac:dyDescent="0.3">
      <c r="A10" s="3" t="str">
        <f>HYPERLINK("https://depedms.dep.state.fl.us:443/Oculus/servlet/shell?command=view&amp;[guid=38.1407324.1]&amp;[profile=Sampling]","View Document (.pdf)")</f>
        <v>View Document (.pdf)</v>
      </c>
      <c r="B10" t="s">
        <v>20</v>
      </c>
      <c r="C10" t="s">
        <v>21</v>
      </c>
      <c r="D10" t="s">
        <v>22</v>
      </c>
      <c r="E10" t="s">
        <v>55</v>
      </c>
      <c r="F10" t="s">
        <v>63</v>
      </c>
      <c r="G10" t="s">
        <v>25</v>
      </c>
      <c r="H10" t="s">
        <v>26</v>
      </c>
      <c r="I10" t="s">
        <v>27</v>
      </c>
      <c r="J10" t="s">
        <v>27</v>
      </c>
      <c r="K10" t="s">
        <v>65</v>
      </c>
      <c r="L10" t="s">
        <v>29</v>
      </c>
      <c r="M10" t="s">
        <v>30</v>
      </c>
      <c r="N10" t="s">
        <v>31</v>
      </c>
      <c r="O10" t="s">
        <v>32</v>
      </c>
      <c r="P10" t="s">
        <v>33</v>
      </c>
      <c r="Q10" t="s">
        <v>66</v>
      </c>
      <c r="R10" t="s">
        <v>34</v>
      </c>
      <c r="S10" t="s">
        <v>27</v>
      </c>
      <c r="T10" t="s">
        <v>27</v>
      </c>
    </row>
    <row r="11" spans="1:20" x14ac:dyDescent="0.3">
      <c r="A11" s="3" t="str">
        <f>HYPERLINK("https://depedms.dep.state.fl.us:443/Oculus/servlet/shell?command=view&amp;[guid=38.1414341.1]&amp;[profile=Sampling]","View Document (.pdf)")</f>
        <v>View Document (.pdf)</v>
      </c>
      <c r="B11" t="s">
        <v>20</v>
      </c>
      <c r="C11" t="s">
        <v>21</v>
      </c>
      <c r="D11" t="s">
        <v>22</v>
      </c>
      <c r="E11" t="s">
        <v>59</v>
      </c>
      <c r="F11" t="s">
        <v>60</v>
      </c>
      <c r="G11" t="s">
        <v>25</v>
      </c>
      <c r="H11" t="s">
        <v>26</v>
      </c>
      <c r="I11" t="s">
        <v>27</v>
      </c>
      <c r="J11" t="s">
        <v>27</v>
      </c>
      <c r="K11" t="s">
        <v>61</v>
      </c>
      <c r="L11" t="s">
        <v>29</v>
      </c>
      <c r="M11" t="s">
        <v>30</v>
      </c>
      <c r="N11" t="s">
        <v>62</v>
      </c>
      <c r="O11" t="s">
        <v>32</v>
      </c>
      <c r="P11" t="s">
        <v>33</v>
      </c>
      <c r="Q11" t="s">
        <v>60</v>
      </c>
      <c r="R11" t="s">
        <v>34</v>
      </c>
      <c r="S11" t="s">
        <v>27</v>
      </c>
      <c r="T11" t="s">
        <v>27</v>
      </c>
    </row>
    <row r="12" spans="1:20" x14ac:dyDescent="0.3">
      <c r="A12" s="3" t="str">
        <f>HYPERLINK("https://depedms.dep.state.fl.us:443/Oculus/servlet/shell?command=view&amp;[guid=38.1415520.1]&amp;[profile=Sampling]","View Document (.pdf)")</f>
        <v>View Document (.pdf)</v>
      </c>
      <c r="B12" t="s">
        <v>20</v>
      </c>
      <c r="C12" t="s">
        <v>21</v>
      </c>
      <c r="D12" t="s">
        <v>22</v>
      </c>
      <c r="E12" t="s">
        <v>59</v>
      </c>
      <c r="F12" t="s">
        <v>60</v>
      </c>
      <c r="G12" t="s">
        <v>25</v>
      </c>
      <c r="H12" t="s">
        <v>26</v>
      </c>
      <c r="I12" t="s">
        <v>27</v>
      </c>
      <c r="J12" t="s">
        <v>27</v>
      </c>
      <c r="K12" t="s">
        <v>67</v>
      </c>
      <c r="L12" t="s">
        <v>29</v>
      </c>
      <c r="M12" t="s">
        <v>30</v>
      </c>
      <c r="N12" t="s">
        <v>68</v>
      </c>
      <c r="O12" t="s">
        <v>32</v>
      </c>
      <c r="P12" t="s">
        <v>33</v>
      </c>
      <c r="Q12" t="s">
        <v>69</v>
      </c>
      <c r="R12" t="s">
        <v>34</v>
      </c>
      <c r="S12" t="s">
        <v>27</v>
      </c>
      <c r="T12" t="s">
        <v>27</v>
      </c>
    </row>
    <row r="13" spans="1:20" x14ac:dyDescent="0.3">
      <c r="A13" s="3" t="str">
        <f>HYPERLINK("https://depedms.dep.state.fl.us:443/Oculus/servlet/shell?command=view&amp;[guid=38.1415522.1]&amp;[profile=Sampling]","View Document (.pdf)")</f>
        <v>View Document (.pdf)</v>
      </c>
      <c r="B13" t="s">
        <v>20</v>
      </c>
      <c r="C13" t="s">
        <v>21</v>
      </c>
      <c r="D13" t="s">
        <v>22</v>
      </c>
      <c r="E13" t="s">
        <v>59</v>
      </c>
      <c r="F13" t="s">
        <v>60</v>
      </c>
      <c r="G13" t="s">
        <v>25</v>
      </c>
      <c r="H13" t="s">
        <v>26</v>
      </c>
      <c r="I13" t="s">
        <v>27</v>
      </c>
      <c r="J13" t="s">
        <v>27</v>
      </c>
      <c r="K13" t="s">
        <v>70</v>
      </c>
      <c r="L13" t="s">
        <v>29</v>
      </c>
      <c r="M13" t="s">
        <v>30</v>
      </c>
      <c r="N13" t="s">
        <v>71</v>
      </c>
      <c r="O13" t="s">
        <v>32</v>
      </c>
      <c r="P13" t="s">
        <v>33</v>
      </c>
      <c r="Q13" t="s">
        <v>69</v>
      </c>
      <c r="R13" t="s">
        <v>34</v>
      </c>
      <c r="S13" t="s">
        <v>27</v>
      </c>
      <c r="T13" t="s">
        <v>27</v>
      </c>
    </row>
    <row r="14" spans="1:20" x14ac:dyDescent="0.3">
      <c r="A14" s="3" t="str">
        <f>HYPERLINK("https://depedms.dep.state.fl.us:443/Oculus/servlet/shell?command=view&amp;[guid=38.1415521.1]&amp;[profile=Sampling]","View Document (.pdf)")</f>
        <v>View Document (.pdf)</v>
      </c>
      <c r="B14" t="s">
        <v>20</v>
      </c>
      <c r="C14" t="s">
        <v>21</v>
      </c>
      <c r="D14" t="s">
        <v>22</v>
      </c>
      <c r="E14" t="s">
        <v>59</v>
      </c>
      <c r="F14" t="s">
        <v>60</v>
      </c>
      <c r="G14" t="s">
        <v>25</v>
      </c>
      <c r="H14" t="s">
        <v>26</v>
      </c>
      <c r="I14" t="s">
        <v>27</v>
      </c>
      <c r="J14" t="s">
        <v>27</v>
      </c>
      <c r="K14" t="s">
        <v>72</v>
      </c>
      <c r="L14" t="s">
        <v>29</v>
      </c>
      <c r="M14" t="s">
        <v>30</v>
      </c>
      <c r="N14" t="s">
        <v>62</v>
      </c>
      <c r="O14" t="s">
        <v>32</v>
      </c>
      <c r="P14" t="s">
        <v>33</v>
      </c>
      <c r="Q14" t="s">
        <v>69</v>
      </c>
      <c r="R14" t="s">
        <v>34</v>
      </c>
      <c r="S14" t="s">
        <v>27</v>
      </c>
      <c r="T14" t="s">
        <v>27</v>
      </c>
    </row>
    <row r="15" spans="1:20" x14ac:dyDescent="0.3">
      <c r="A15" s="3" t="str">
        <f>HYPERLINK("https://depedms.dep.state.fl.us:443/Oculus/servlet/shell?command=view&amp;[guid=38.1414342.1]&amp;[profile=Sampling]","View Document (.pdf)")</f>
        <v>View Document (.pdf)</v>
      </c>
      <c r="B15" t="s">
        <v>20</v>
      </c>
      <c r="C15" t="s">
        <v>21</v>
      </c>
      <c r="D15" t="s">
        <v>22</v>
      </c>
      <c r="E15" t="s">
        <v>59</v>
      </c>
      <c r="F15" t="s">
        <v>60</v>
      </c>
      <c r="G15" t="s">
        <v>25</v>
      </c>
      <c r="H15" t="s">
        <v>26</v>
      </c>
      <c r="I15" t="s">
        <v>27</v>
      </c>
      <c r="J15" t="s">
        <v>27</v>
      </c>
      <c r="K15" t="s">
        <v>73</v>
      </c>
      <c r="L15" t="s">
        <v>29</v>
      </c>
      <c r="M15" t="s">
        <v>30</v>
      </c>
      <c r="N15" t="s">
        <v>62</v>
      </c>
      <c r="O15" t="s">
        <v>32</v>
      </c>
      <c r="P15" t="s">
        <v>33</v>
      </c>
      <c r="Q15" t="s">
        <v>60</v>
      </c>
      <c r="R15" t="s">
        <v>34</v>
      </c>
      <c r="S15" t="s">
        <v>27</v>
      </c>
      <c r="T15" t="s">
        <v>27</v>
      </c>
    </row>
    <row r="16" spans="1:20" x14ac:dyDescent="0.3">
      <c r="A16" s="3" t="str">
        <f>HYPERLINK("https://depedms.dep.state.fl.us:443/Oculus/servlet/shell?command=view&amp;[guid=38.1414343.1]&amp;[profile=Sampling]","View Document (.pdf)")</f>
        <v>View Document (.pdf)</v>
      </c>
      <c r="B16" t="s">
        <v>20</v>
      </c>
      <c r="C16" t="s">
        <v>21</v>
      </c>
      <c r="D16" t="s">
        <v>22</v>
      </c>
      <c r="E16" t="s">
        <v>59</v>
      </c>
      <c r="F16" t="s">
        <v>60</v>
      </c>
      <c r="G16" t="s">
        <v>25</v>
      </c>
      <c r="H16" t="s">
        <v>26</v>
      </c>
      <c r="I16" t="s">
        <v>27</v>
      </c>
      <c r="J16" t="s">
        <v>27</v>
      </c>
      <c r="K16" t="s">
        <v>74</v>
      </c>
      <c r="L16" t="s">
        <v>29</v>
      </c>
      <c r="M16" t="s">
        <v>30</v>
      </c>
      <c r="N16" t="s">
        <v>71</v>
      </c>
      <c r="O16" t="s">
        <v>32</v>
      </c>
      <c r="P16" t="s">
        <v>33</v>
      </c>
      <c r="Q16" t="s">
        <v>60</v>
      </c>
      <c r="R16" t="s">
        <v>34</v>
      </c>
      <c r="S16" t="s">
        <v>27</v>
      </c>
      <c r="T16" t="s">
        <v>27</v>
      </c>
    </row>
    <row r="17" spans="1:20" x14ac:dyDescent="0.3">
      <c r="A17" s="3" t="str">
        <f>HYPERLINK("https://depedms.dep.state.fl.us:443/Oculus/servlet/shell?command=view&amp;[guid=38.1422259.1]&amp;[profile=Sampling]","View Document (.pdf)")</f>
        <v>View Document (.pdf)</v>
      </c>
      <c r="B17" t="s">
        <v>20</v>
      </c>
      <c r="C17" t="s">
        <v>21</v>
      </c>
      <c r="D17" t="s">
        <v>22</v>
      </c>
      <c r="E17" t="s">
        <v>35</v>
      </c>
      <c r="F17" t="s">
        <v>75</v>
      </c>
      <c r="G17" t="s">
        <v>25</v>
      </c>
      <c r="H17" t="s">
        <v>26</v>
      </c>
      <c r="I17" t="s">
        <v>27</v>
      </c>
      <c r="J17" t="s">
        <v>27</v>
      </c>
      <c r="K17" t="s">
        <v>76</v>
      </c>
      <c r="L17" t="s">
        <v>29</v>
      </c>
      <c r="M17" t="s">
        <v>30</v>
      </c>
      <c r="N17" t="s">
        <v>77</v>
      </c>
      <c r="O17" t="s">
        <v>32</v>
      </c>
      <c r="P17" t="s">
        <v>33</v>
      </c>
      <c r="Q17" t="s">
        <v>75</v>
      </c>
      <c r="R17" t="s">
        <v>34</v>
      </c>
      <c r="S17" t="s">
        <v>27</v>
      </c>
      <c r="T17" t="s">
        <v>27</v>
      </c>
    </row>
    <row r="18" spans="1:20" x14ac:dyDescent="0.3">
      <c r="A18" s="3" t="str">
        <f>HYPERLINK("https://depedms.dep.state.fl.us:443/Oculus/servlet/shell?command=view&amp;[guid=38.1422260.1]&amp;[profile=Sampling]","View Document (.pdf)")</f>
        <v>View Document (.pdf)</v>
      </c>
      <c r="B18" t="s">
        <v>20</v>
      </c>
      <c r="C18" t="s">
        <v>21</v>
      </c>
      <c r="D18" t="s">
        <v>22</v>
      </c>
      <c r="E18" t="s">
        <v>35</v>
      </c>
      <c r="F18" t="s">
        <v>75</v>
      </c>
      <c r="G18" t="s">
        <v>25</v>
      </c>
      <c r="H18" t="s">
        <v>26</v>
      </c>
      <c r="I18" t="s">
        <v>27</v>
      </c>
      <c r="J18" t="s">
        <v>27</v>
      </c>
      <c r="K18" t="s">
        <v>78</v>
      </c>
      <c r="L18" t="s">
        <v>29</v>
      </c>
      <c r="M18" t="s">
        <v>30</v>
      </c>
      <c r="N18" t="s">
        <v>79</v>
      </c>
      <c r="O18" t="s">
        <v>32</v>
      </c>
      <c r="P18" t="s">
        <v>33</v>
      </c>
      <c r="Q18" t="s">
        <v>75</v>
      </c>
      <c r="R18" t="s">
        <v>34</v>
      </c>
      <c r="S18" t="s">
        <v>27</v>
      </c>
      <c r="T18" t="s">
        <v>27</v>
      </c>
    </row>
    <row r="19" spans="1:20" x14ac:dyDescent="0.3">
      <c r="A19" s="3" t="str">
        <f>HYPERLINK("https://depedms.dep.state.fl.us:443/Oculus/servlet/shell?command=view&amp;[guid=38.1429599.1]&amp;[profile=Sampling]","View Document (.pdf)")</f>
        <v>View Document (.pdf)</v>
      </c>
      <c r="B19" t="s">
        <v>20</v>
      </c>
      <c r="C19" t="s">
        <v>21</v>
      </c>
      <c r="D19" t="s">
        <v>22</v>
      </c>
      <c r="E19" t="s">
        <v>80</v>
      </c>
      <c r="F19" t="s">
        <v>81</v>
      </c>
      <c r="G19" t="s">
        <v>25</v>
      </c>
      <c r="H19" t="s">
        <v>26</v>
      </c>
      <c r="I19" t="s">
        <v>27</v>
      </c>
      <c r="J19" t="s">
        <v>27</v>
      </c>
      <c r="K19" t="s">
        <v>82</v>
      </c>
      <c r="L19" t="s">
        <v>29</v>
      </c>
      <c r="M19" t="s">
        <v>30</v>
      </c>
      <c r="N19" t="s">
        <v>79</v>
      </c>
      <c r="O19" t="s">
        <v>32</v>
      </c>
      <c r="P19" t="s">
        <v>33</v>
      </c>
      <c r="Q19" t="s">
        <v>81</v>
      </c>
      <c r="R19" t="s">
        <v>34</v>
      </c>
      <c r="S19" t="s">
        <v>27</v>
      </c>
      <c r="T19" t="s">
        <v>27</v>
      </c>
    </row>
    <row r="20" spans="1:20" x14ac:dyDescent="0.3">
      <c r="A20" s="3" t="str">
        <f>HYPERLINK("https://depedms.dep.state.fl.us:443/Oculus/servlet/shell?command=view&amp;[guid=38.1429598.1]&amp;[profile=Sampling]","View Document (.pdf)")</f>
        <v>View Document (.pdf)</v>
      </c>
      <c r="B20" t="s">
        <v>20</v>
      </c>
      <c r="C20" t="s">
        <v>21</v>
      </c>
      <c r="D20" t="s">
        <v>22</v>
      </c>
      <c r="E20" t="s">
        <v>80</v>
      </c>
      <c r="F20" t="s">
        <v>81</v>
      </c>
      <c r="G20" t="s">
        <v>25</v>
      </c>
      <c r="H20" t="s">
        <v>26</v>
      </c>
      <c r="I20" t="s">
        <v>27</v>
      </c>
      <c r="J20" t="s">
        <v>27</v>
      </c>
      <c r="K20" t="s">
        <v>83</v>
      </c>
      <c r="L20" t="s">
        <v>29</v>
      </c>
      <c r="M20" t="s">
        <v>30</v>
      </c>
      <c r="N20" t="s">
        <v>77</v>
      </c>
      <c r="O20" t="s">
        <v>32</v>
      </c>
      <c r="P20" t="s">
        <v>33</v>
      </c>
      <c r="Q20" t="s">
        <v>81</v>
      </c>
      <c r="R20" t="s">
        <v>34</v>
      </c>
      <c r="S20" t="s">
        <v>27</v>
      </c>
      <c r="T20" t="s">
        <v>27</v>
      </c>
    </row>
    <row r="21" spans="1:20" x14ac:dyDescent="0.3">
      <c r="A21" s="3" t="str">
        <f>HYPERLINK("https://depedms.dep.state.fl.us:443/Oculus/servlet/shell?command=view&amp;[guid=38.1429422.1]&amp;[profile=Sampling]","View Document (.pdf)")</f>
        <v>View Document (.pdf)</v>
      </c>
      <c r="B21" t="s">
        <v>20</v>
      </c>
      <c r="C21" t="s">
        <v>21</v>
      </c>
      <c r="D21" t="s">
        <v>22</v>
      </c>
      <c r="E21" t="s">
        <v>80</v>
      </c>
      <c r="F21" t="s">
        <v>81</v>
      </c>
      <c r="G21" t="s">
        <v>25</v>
      </c>
      <c r="H21" t="s">
        <v>26</v>
      </c>
      <c r="I21" t="s">
        <v>27</v>
      </c>
      <c r="J21" t="s">
        <v>27</v>
      </c>
      <c r="K21" t="s">
        <v>84</v>
      </c>
      <c r="L21" t="s">
        <v>29</v>
      </c>
      <c r="M21" t="s">
        <v>30</v>
      </c>
      <c r="N21" t="s">
        <v>77</v>
      </c>
      <c r="O21" t="s">
        <v>32</v>
      </c>
      <c r="P21" t="s">
        <v>33</v>
      </c>
      <c r="Q21" t="s">
        <v>81</v>
      </c>
      <c r="R21" t="s">
        <v>34</v>
      </c>
      <c r="S21" t="s">
        <v>27</v>
      </c>
      <c r="T21" t="s">
        <v>27</v>
      </c>
    </row>
    <row r="22" spans="1:20" x14ac:dyDescent="0.3">
      <c r="A22" s="3" t="str">
        <f>HYPERLINK("https://depedms.dep.state.fl.us:443/Oculus/servlet/shell?command=view&amp;[guid=38.1429423.1]&amp;[profile=Sampling]","View Document (.pdf)")</f>
        <v>View Document (.pdf)</v>
      </c>
      <c r="B22" t="s">
        <v>20</v>
      </c>
      <c r="C22" t="s">
        <v>21</v>
      </c>
      <c r="D22" t="s">
        <v>22</v>
      </c>
      <c r="E22" t="s">
        <v>80</v>
      </c>
      <c r="F22" t="s">
        <v>81</v>
      </c>
      <c r="G22" t="s">
        <v>25</v>
      </c>
      <c r="H22" t="s">
        <v>26</v>
      </c>
      <c r="I22" t="s">
        <v>27</v>
      </c>
      <c r="J22" t="s">
        <v>27</v>
      </c>
      <c r="K22" t="s">
        <v>85</v>
      </c>
      <c r="L22" t="s">
        <v>29</v>
      </c>
      <c r="M22" t="s">
        <v>30</v>
      </c>
      <c r="N22" t="s">
        <v>79</v>
      </c>
      <c r="O22" t="s">
        <v>32</v>
      </c>
      <c r="P22" t="s">
        <v>33</v>
      </c>
      <c r="Q22" t="s">
        <v>81</v>
      </c>
      <c r="R22" t="s">
        <v>34</v>
      </c>
      <c r="S22" t="s">
        <v>27</v>
      </c>
      <c r="T22" t="s">
        <v>27</v>
      </c>
    </row>
    <row r="23" spans="1:20" x14ac:dyDescent="0.3">
      <c r="A23" s="3" t="str">
        <f>HYPERLINK("https://depedms.dep.state.fl.us:443/Oculus/servlet/shell?command=view&amp;[guid=38.1435246.1]&amp;[profile=Sampling]","View Document (.pdf)")</f>
        <v>View Document (.pdf)</v>
      </c>
      <c r="B23" t="s">
        <v>20</v>
      </c>
      <c r="C23" t="s">
        <v>21</v>
      </c>
      <c r="D23" t="s">
        <v>22</v>
      </c>
      <c r="E23" t="s">
        <v>80</v>
      </c>
      <c r="F23" t="s">
        <v>91</v>
      </c>
      <c r="G23" t="s">
        <v>25</v>
      </c>
      <c r="H23" t="s">
        <v>26</v>
      </c>
      <c r="I23" t="s">
        <v>27</v>
      </c>
      <c r="J23" t="s">
        <v>27</v>
      </c>
      <c r="K23" t="s">
        <v>92</v>
      </c>
      <c r="L23" t="s">
        <v>29</v>
      </c>
      <c r="M23" t="s">
        <v>30</v>
      </c>
      <c r="N23" t="s">
        <v>77</v>
      </c>
      <c r="O23" t="s">
        <v>32</v>
      </c>
      <c r="P23" t="s">
        <v>33</v>
      </c>
      <c r="Q23" t="s">
        <v>91</v>
      </c>
      <c r="R23" t="s">
        <v>34</v>
      </c>
      <c r="S23" t="s">
        <v>27</v>
      </c>
      <c r="T23" t="s">
        <v>27</v>
      </c>
    </row>
    <row r="24" spans="1:20" x14ac:dyDescent="0.3">
      <c r="A24" s="3" t="str">
        <f>HYPERLINK("https://depedms.dep.state.fl.us:443/Oculus/servlet/shell?command=view&amp;[guid=38.1435247.1]&amp;[profile=Sampling]","View Document (.pdf)")</f>
        <v>View Document (.pdf)</v>
      </c>
      <c r="B24" t="s">
        <v>20</v>
      </c>
      <c r="C24" t="s">
        <v>21</v>
      </c>
      <c r="D24" t="s">
        <v>22</v>
      </c>
      <c r="E24" t="s">
        <v>80</v>
      </c>
      <c r="F24" t="s">
        <v>91</v>
      </c>
      <c r="G24" t="s">
        <v>25</v>
      </c>
      <c r="H24" t="s">
        <v>26</v>
      </c>
      <c r="I24" t="s">
        <v>27</v>
      </c>
      <c r="J24" t="s">
        <v>27</v>
      </c>
      <c r="K24" t="s">
        <v>93</v>
      </c>
      <c r="L24" t="s">
        <v>29</v>
      </c>
      <c r="M24" t="s">
        <v>30</v>
      </c>
      <c r="N24" t="s">
        <v>79</v>
      </c>
      <c r="O24" t="s">
        <v>32</v>
      </c>
      <c r="P24" t="s">
        <v>33</v>
      </c>
      <c r="Q24" t="s">
        <v>91</v>
      </c>
      <c r="R24" t="s">
        <v>34</v>
      </c>
      <c r="S24" t="s">
        <v>27</v>
      </c>
      <c r="T24" t="s">
        <v>27</v>
      </c>
    </row>
    <row r="25" spans="1:20" x14ac:dyDescent="0.3">
      <c r="A25" s="3" t="str">
        <f>HYPERLINK("https://depedms.dep.state.fl.us:443/Oculus/servlet/shell?command=view&amp;[guid=38.1437426.1]&amp;[profile=Sampling]","View Document (.pdf)")</f>
        <v>View Document (.pdf)</v>
      </c>
      <c r="B25" t="s">
        <v>20</v>
      </c>
      <c r="C25" t="s">
        <v>21</v>
      </c>
      <c r="D25" t="s">
        <v>22</v>
      </c>
      <c r="E25" t="s">
        <v>86</v>
      </c>
      <c r="F25" t="s">
        <v>87</v>
      </c>
      <c r="G25" t="s">
        <v>25</v>
      </c>
      <c r="H25" t="s">
        <v>26</v>
      </c>
      <c r="I25" t="s">
        <v>27</v>
      </c>
      <c r="J25" t="s">
        <v>27</v>
      </c>
      <c r="K25" t="s">
        <v>88</v>
      </c>
      <c r="L25" t="s">
        <v>29</v>
      </c>
      <c r="M25" t="s">
        <v>30</v>
      </c>
      <c r="N25" t="s">
        <v>89</v>
      </c>
      <c r="O25" t="s">
        <v>32</v>
      </c>
      <c r="P25" t="s">
        <v>33</v>
      </c>
      <c r="Q25" t="s">
        <v>87</v>
      </c>
      <c r="R25" t="s">
        <v>34</v>
      </c>
      <c r="S25" t="s">
        <v>27</v>
      </c>
      <c r="T25" t="s">
        <v>27</v>
      </c>
    </row>
    <row r="26" spans="1:20" x14ac:dyDescent="0.3">
      <c r="A26" s="3" t="str">
        <f>HYPERLINK("https://depedms.dep.state.fl.us:443/Oculus/servlet/shell?command=view&amp;[guid=38.1437427.1]&amp;[profile=Sampling]","View Document (.pdf)")</f>
        <v>View Document (.pdf)</v>
      </c>
      <c r="B26" t="s">
        <v>20</v>
      </c>
      <c r="C26" t="s">
        <v>21</v>
      </c>
      <c r="D26" t="s">
        <v>22</v>
      </c>
      <c r="E26" t="s">
        <v>86</v>
      </c>
      <c r="F26" t="s">
        <v>87</v>
      </c>
      <c r="G26" t="s">
        <v>25</v>
      </c>
      <c r="H26" t="s">
        <v>26</v>
      </c>
      <c r="I26" t="s">
        <v>27</v>
      </c>
      <c r="J26" t="s">
        <v>27</v>
      </c>
      <c r="K26" t="s">
        <v>90</v>
      </c>
      <c r="L26" t="s">
        <v>29</v>
      </c>
      <c r="M26" t="s">
        <v>30</v>
      </c>
      <c r="N26" t="s">
        <v>31</v>
      </c>
      <c r="O26" t="s">
        <v>32</v>
      </c>
      <c r="P26" t="s">
        <v>33</v>
      </c>
      <c r="Q26" t="s">
        <v>87</v>
      </c>
      <c r="R26" t="s">
        <v>34</v>
      </c>
      <c r="S26" t="s">
        <v>27</v>
      </c>
      <c r="T26" t="s">
        <v>27</v>
      </c>
    </row>
    <row r="27" spans="1:20" x14ac:dyDescent="0.3">
      <c r="A27" s="3" t="str">
        <f>HYPERLINK("https://depedms.dep.state.fl.us:443/Oculus/servlet/shell?command=view&amp;[guid=38.1448044.1]&amp;[profile=Sampling]","View Document (.pdf)")</f>
        <v>View Document (.pdf)</v>
      </c>
      <c r="B27" t="s">
        <v>20</v>
      </c>
      <c r="C27" t="s">
        <v>21</v>
      </c>
      <c r="D27" t="s">
        <v>22</v>
      </c>
      <c r="E27" t="s">
        <v>97</v>
      </c>
      <c r="F27" t="s">
        <v>98</v>
      </c>
      <c r="G27" t="s">
        <v>25</v>
      </c>
      <c r="H27" t="s">
        <v>26</v>
      </c>
      <c r="I27" t="s">
        <v>27</v>
      </c>
      <c r="J27" t="s">
        <v>27</v>
      </c>
      <c r="K27" t="s">
        <v>99</v>
      </c>
      <c r="L27" t="s">
        <v>29</v>
      </c>
      <c r="M27" t="s">
        <v>30</v>
      </c>
      <c r="N27" t="s">
        <v>31</v>
      </c>
      <c r="O27" t="s">
        <v>32</v>
      </c>
      <c r="P27" t="s">
        <v>33</v>
      </c>
      <c r="Q27" t="s">
        <v>98</v>
      </c>
      <c r="R27" t="s">
        <v>34</v>
      </c>
      <c r="S27" t="s">
        <v>27</v>
      </c>
      <c r="T27" t="s">
        <v>27</v>
      </c>
    </row>
    <row r="28" spans="1:20" x14ac:dyDescent="0.3">
      <c r="A28" s="3" t="str">
        <f>HYPERLINK("https://depedms.dep.state.fl.us:443/Oculus/servlet/shell?command=view&amp;[guid=38.1448043.1]&amp;[profile=Sampling]","View Document (.pdf)")</f>
        <v>View Document (.pdf)</v>
      </c>
      <c r="B28" t="s">
        <v>20</v>
      </c>
      <c r="C28" t="s">
        <v>21</v>
      </c>
      <c r="D28" t="s">
        <v>22</v>
      </c>
      <c r="E28" t="s">
        <v>97</v>
      </c>
      <c r="F28" t="s">
        <v>98</v>
      </c>
      <c r="G28" t="s">
        <v>25</v>
      </c>
      <c r="H28" t="s">
        <v>26</v>
      </c>
      <c r="I28" t="s">
        <v>27</v>
      </c>
      <c r="J28" t="s">
        <v>27</v>
      </c>
      <c r="K28" t="s">
        <v>100</v>
      </c>
      <c r="L28" t="s">
        <v>29</v>
      </c>
      <c r="M28" t="s">
        <v>30</v>
      </c>
      <c r="N28" t="s">
        <v>37</v>
      </c>
      <c r="O28" t="s">
        <v>32</v>
      </c>
      <c r="P28" t="s">
        <v>33</v>
      </c>
      <c r="Q28" t="s">
        <v>98</v>
      </c>
      <c r="R28" t="s">
        <v>34</v>
      </c>
      <c r="S28" t="s">
        <v>27</v>
      </c>
      <c r="T28" t="s">
        <v>27</v>
      </c>
    </row>
    <row r="29" spans="1:20" x14ac:dyDescent="0.3">
      <c r="A29" s="3" t="str">
        <f>HYPERLINK("https://depedms.dep.state.fl.us:443/Oculus/servlet/shell?command=view&amp;[guid=38.1453375.1]&amp;[profile=Sampling]","View Document (.pdf)")</f>
        <v>View Document (.pdf)</v>
      </c>
      <c r="B29" t="s">
        <v>20</v>
      </c>
      <c r="C29" t="s">
        <v>21</v>
      </c>
      <c r="D29" t="s">
        <v>22</v>
      </c>
      <c r="E29" t="s">
        <v>94</v>
      </c>
      <c r="F29" t="s">
        <v>95</v>
      </c>
      <c r="G29" t="s">
        <v>25</v>
      </c>
      <c r="H29" t="s">
        <v>26</v>
      </c>
      <c r="I29" t="s">
        <v>27</v>
      </c>
      <c r="J29" t="s">
        <v>27</v>
      </c>
      <c r="K29" t="s">
        <v>96</v>
      </c>
      <c r="L29" t="s">
        <v>29</v>
      </c>
      <c r="M29" t="s">
        <v>30</v>
      </c>
      <c r="N29" t="s">
        <v>31</v>
      </c>
      <c r="O29" t="s">
        <v>32</v>
      </c>
      <c r="P29" t="s">
        <v>33</v>
      </c>
      <c r="Q29" t="s">
        <v>95</v>
      </c>
      <c r="R29" t="s">
        <v>34</v>
      </c>
      <c r="S29" t="s">
        <v>27</v>
      </c>
      <c r="T29" t="s">
        <v>27</v>
      </c>
    </row>
    <row r="30" spans="1:20" x14ac:dyDescent="0.3">
      <c r="A30" s="3" t="str">
        <f>HYPERLINK("https://depedms.dep.state.fl.us:443/Oculus/servlet/shell?command=view&amp;[guid=38.1453374.1]&amp;[profile=Sampling]","View Document (.pdf)")</f>
        <v>View Document (.pdf)</v>
      </c>
      <c r="B30" t="s">
        <v>20</v>
      </c>
      <c r="C30" t="s">
        <v>21</v>
      </c>
      <c r="D30" t="s">
        <v>22</v>
      </c>
      <c r="E30" t="s">
        <v>94</v>
      </c>
      <c r="F30" t="s">
        <v>95</v>
      </c>
      <c r="G30" t="s">
        <v>25</v>
      </c>
      <c r="H30" t="s">
        <v>26</v>
      </c>
      <c r="I30" t="s">
        <v>27</v>
      </c>
      <c r="J30" t="s">
        <v>27</v>
      </c>
      <c r="K30" t="s">
        <v>101</v>
      </c>
      <c r="L30" t="s">
        <v>29</v>
      </c>
      <c r="M30" t="s">
        <v>30</v>
      </c>
      <c r="N30" t="s">
        <v>37</v>
      </c>
      <c r="O30" t="s">
        <v>32</v>
      </c>
      <c r="P30" t="s">
        <v>33</v>
      </c>
      <c r="Q30" t="s">
        <v>95</v>
      </c>
      <c r="R30" t="s">
        <v>34</v>
      </c>
      <c r="S30" t="s">
        <v>27</v>
      </c>
      <c r="T30" t="s">
        <v>27</v>
      </c>
    </row>
    <row r="31" spans="1:20" x14ac:dyDescent="0.3">
      <c r="A31" s="3" t="str">
        <f>HYPERLINK("https://depedms.dep.state.fl.us:443/Oculus/servlet/shell?command=view&amp;[guid=38.1462204.1]&amp;[profile=Sampling]","View Document (.pdf)")</f>
        <v>View Document (.pdf)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G31" t="s">
        <v>25</v>
      </c>
      <c r="H31" t="s">
        <v>26</v>
      </c>
      <c r="I31" t="s">
        <v>27</v>
      </c>
      <c r="J31" t="s">
        <v>27</v>
      </c>
      <c r="K31" t="s">
        <v>28</v>
      </c>
      <c r="L31" t="s">
        <v>29</v>
      </c>
      <c r="M31" t="s">
        <v>30</v>
      </c>
      <c r="N31" t="s">
        <v>31</v>
      </c>
      <c r="O31" t="s">
        <v>32</v>
      </c>
      <c r="P31" t="s">
        <v>33</v>
      </c>
      <c r="Q31" t="s">
        <v>24</v>
      </c>
      <c r="R31" t="s">
        <v>34</v>
      </c>
      <c r="S31" t="s">
        <v>27</v>
      </c>
      <c r="T31" t="s">
        <v>27</v>
      </c>
    </row>
    <row r="32" spans="1:20" x14ac:dyDescent="0.3">
      <c r="A32" s="3" t="str">
        <f>HYPERLINK("https://depedms.dep.state.fl.us:443/Oculus/servlet/shell?command=view&amp;[guid=38.1462203.1]&amp;[profile=Sampling]","View Document (.pdf)")</f>
        <v>View Document (.pdf)</v>
      </c>
      <c r="B32" t="s">
        <v>20</v>
      </c>
      <c r="C32" t="s">
        <v>21</v>
      </c>
      <c r="D32" t="s">
        <v>22</v>
      </c>
      <c r="E32" t="s">
        <v>23</v>
      </c>
      <c r="F32" t="s">
        <v>24</v>
      </c>
      <c r="G32" t="s">
        <v>25</v>
      </c>
      <c r="H32" t="s">
        <v>26</v>
      </c>
      <c r="I32" t="s">
        <v>27</v>
      </c>
      <c r="J32" t="s">
        <v>27</v>
      </c>
      <c r="K32" t="s">
        <v>36</v>
      </c>
      <c r="L32" t="s">
        <v>29</v>
      </c>
      <c r="M32" t="s">
        <v>30</v>
      </c>
      <c r="N32" t="s">
        <v>37</v>
      </c>
      <c r="O32" t="s">
        <v>32</v>
      </c>
      <c r="P32" t="s">
        <v>33</v>
      </c>
      <c r="Q32" t="s">
        <v>24</v>
      </c>
      <c r="R32" t="s">
        <v>34</v>
      </c>
      <c r="S32" t="s">
        <v>27</v>
      </c>
      <c r="T32" t="s">
        <v>27</v>
      </c>
    </row>
  </sheetData>
  <sortState xmlns:xlrd2="http://schemas.microsoft.com/office/spreadsheetml/2017/richdata2" ref="A2:T32">
    <sortCondition ref="E1:E3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cols>
    <col min="1" max="1" width="13.88671875" customWidth="1"/>
    <col min="2" max="2" width="15.109375" customWidth="1"/>
  </cols>
  <sheetData>
    <row r="1" spans="1:2" x14ac:dyDescent="0.3">
      <c r="A1" s="4" t="s">
        <v>102</v>
      </c>
      <c r="B1" s="4"/>
    </row>
    <row r="2" spans="1:2" x14ac:dyDescent="0.3">
      <c r="A2" s="1" t="s">
        <v>103</v>
      </c>
      <c r="B2" s="1" t="s">
        <v>104</v>
      </c>
    </row>
    <row r="3" spans="1:2" x14ac:dyDescent="0.3">
      <c r="A3" s="2" t="s">
        <v>105</v>
      </c>
      <c r="B3" t="s">
        <v>106</v>
      </c>
    </row>
    <row r="4" spans="1:2" x14ac:dyDescent="0.3">
      <c r="A4" s="2" t="s">
        <v>107</v>
      </c>
      <c r="B4" t="s">
        <v>21</v>
      </c>
    </row>
    <row r="5" spans="1:2" x14ac:dyDescent="0.3">
      <c r="A5" s="2" t="s">
        <v>1</v>
      </c>
      <c r="B5" t="s">
        <v>108</v>
      </c>
    </row>
    <row r="6" spans="1:2" x14ac:dyDescent="0.3">
      <c r="A6" s="2" t="s">
        <v>11</v>
      </c>
      <c r="B6" t="s">
        <v>29</v>
      </c>
    </row>
    <row r="7" spans="1:2" x14ac:dyDescent="0.3">
      <c r="A7" s="2" t="s">
        <v>12</v>
      </c>
      <c r="B7" t="s">
        <v>30</v>
      </c>
    </row>
    <row r="8" spans="1:2" x14ac:dyDescent="0.3">
      <c r="A8" s="2" t="s">
        <v>3</v>
      </c>
      <c r="B8" t="s">
        <v>22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Search Results</vt:lpstr>
      <vt:lpstr>Search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Marcus Beck</cp:lastModifiedBy>
  <dcterms:created xsi:type="dcterms:W3CDTF">2026-06-01T13:55:04Z</dcterms:created>
  <dcterms:modified xsi:type="dcterms:W3CDTF">2026-06-01T14:09:49Z</dcterms:modified>
</cp:coreProperties>
</file>