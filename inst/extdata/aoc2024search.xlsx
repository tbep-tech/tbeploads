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  <sheet name="Search Criteri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</font>
  </fonts>
  <fills count="7">
    <fill>
      <patternFill patternType="none"/>
    </fill>
    <fill>
      <patternFill patternType="darkGray"/>
    </fill>
    <fill>
      <patternFill>
        <fgColor rgb="87CEFA"/>
      </patternFill>
    </fill>
    <fill>
      <patternFill patternType="solid">
        <fgColor rgb="87CEFA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b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1" fillId="0" borderId="0" xfId="0" applyFont="true"/>
    <xf numFmtId="0" fontId="1" fillId="5" borderId="4" xfId="0" applyFill="true" applyFont="true" applyBorder="true"/>
    <xf numFmtId="0" fontId="2" fillId="6" borderId="0" xfId="0" applyFill="true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375" customWidth="true"/>
    <col min="2" max="2" width="10.1953125" customWidth="true"/>
    <col min="3" max="3" width="9.140625" customWidth="true"/>
    <col min="4" max="4" width="13.94140625" customWidth="true"/>
    <col min="5" max="5" width="15.2578125" customWidth="true"/>
    <col min="6" max="6" width="13.98828125" customWidth="true"/>
    <col min="7" max="7" width="41.23828125" customWidth="true"/>
    <col min="8" max="8" width="25.07421875" customWidth="true"/>
    <col min="9" max="9" width="19.4609375" customWidth="true"/>
    <col min="10" max="10" width="15.04296875" customWidth="true"/>
    <col min="11" max="11" width="39.30078125" customWidth="true"/>
    <col min="12" max="12" width="7.484375" customWidth="true"/>
    <col min="13" max="13" width="7.4765625" customWidth="true"/>
    <col min="14" max="14" width="8.16015625" customWidth="true"/>
    <col min="15" max="15" width="8.0" customWidth="true"/>
    <col min="16" max="16" width="7.44140625" customWidth="true"/>
    <col min="17" max="17" width="11.2265625" customWidth="true"/>
    <col min="18" max="18" width="12.4453125" customWidth="true"/>
    <col min="19" max="19" width="11.5" customWidth="true"/>
    <col min="20" max="20" width="17.69140625" customWidth="true"/>
  </cols>
  <sheetData>
    <row r="1">
      <c r="A1" s="1" t="inlineStr">
        <is>
          <t>File Type (Click to view)</t>
        </is>
      </c>
      <c r="B1" s="1" t="inlineStr">
        <is>
          <t>Type</t>
        </is>
      </c>
      <c r="C1" s="1" t="inlineStr">
        <is>
          <t>Profile</t>
        </is>
      </c>
      <c r="D1" s="1" t="inlineStr">
        <is>
          <t>Facility-Site ID</t>
        </is>
      </c>
      <c r="E1" s="1" t="inlineStr">
        <is>
          <t>Document Date</t>
        </is>
      </c>
      <c r="F1" s="1" t="inlineStr">
        <is>
          <t>Received Date</t>
        </is>
      </c>
      <c r="G1" s="1" t="inlineStr">
        <is>
          <t>Document Type</t>
        </is>
      </c>
      <c r="H1" s="1" t="inlineStr">
        <is>
          <t>Facility Type</t>
        </is>
      </c>
      <c r="I1" s="1" t="inlineStr">
        <is>
          <t>Application Number</t>
        </is>
      </c>
      <c r="J1" s="1" t="inlineStr">
        <is>
          <t>Permit Number</t>
        </is>
      </c>
      <c r="K1" s="1" t="inlineStr">
        <is>
          <t>Document Subject</t>
        </is>
      </c>
      <c r="L1" s="1" t="inlineStr">
        <is>
          <t>County</t>
        </is>
      </c>
      <c r="M1" s="1" t="inlineStr">
        <is>
          <t>District</t>
        </is>
      </c>
      <c r="N1" s="1" t="inlineStr">
        <is>
          <t>File Size</t>
        </is>
      </c>
      <c r="O1" s="1" t="inlineStr">
        <is>
          <t>Version</t>
        </is>
      </c>
      <c r="P1" s="1" t="inlineStr">
        <is>
          <t>Master</t>
        </is>
      </c>
      <c r="Q1" s="1" t="inlineStr">
        <is>
          <t>Created</t>
        </is>
      </c>
      <c r="R1" s="1" t="inlineStr">
        <is>
          <t>Creator</t>
        </is>
      </c>
      <c r="S1" s="1" t="inlineStr">
        <is>
          <t>PreIndex ID</t>
        </is>
      </c>
      <c r="T1" s="1" t="inlineStr">
        <is>
          <t>Kofax Batch Name</t>
        </is>
      </c>
    </row>
    <row r="2">
      <c r="A2" s="4">
        <f>=HYPERLINK("https://depedms.dep.state.fl.us:443/Oculus/servlet/shell?command=view&amp;[guid=38.1270870.1]&amp;[profile=Sampling]","View Document (.pdf)")</f>
        <v>0.0</v>
      </c>
      <c r="B2" t="inlineStr">
        <is>
          <t>Document</t>
        </is>
      </c>
      <c r="C2" t="inlineStr">
        <is>
          <t>Sampling</t>
        </is>
      </c>
      <c r="D2" t="inlineStr">
        <is>
          <t>FL0029653</t>
        </is>
      </c>
      <c r="E2" t="inlineStr">
        <is>
          <t>01-01-2024</t>
        </is>
      </c>
      <c r="F2" t="inlineStr">
        <is>
          <t>02-28-2024</t>
        </is>
      </c>
      <c r="G2" t="inlineStr">
        <is>
          <t>DISCHARGE MONITORING REPORTS RELATED</t>
        </is>
      </c>
      <c r="H2" t="inlineStr">
        <is>
          <t>INDUSTRIAL WASTEWATER</t>
        </is>
      </c>
      <c r="I2" t="inlineStr">
        <is>
          <t/>
        </is>
      </c>
      <c r="J2" t="inlineStr">
        <is>
          <t/>
        </is>
      </c>
      <c r="K2" t="inlineStr">
        <is>
          <t>DMR 2024 JAN MO PART A (761028) D-001</t>
        </is>
      </c>
      <c r="L2" t="inlineStr">
        <is>
          <t>POLK</t>
        </is>
      </c>
      <c r="M2" t="inlineStr">
        <is>
          <t>SWD</t>
        </is>
      </c>
      <c r="N2" t="inlineStr">
        <is>
          <t>14 KB</t>
        </is>
      </c>
      <c r="O2" t="inlineStr">
        <is>
          <t>1.0</t>
        </is>
      </c>
      <c r="P2" t="inlineStr">
        <is>
          <t>Y</t>
        </is>
      </c>
      <c r="Q2" t="inlineStr">
        <is>
          <t>02-28-2024</t>
        </is>
      </c>
      <c r="R2" t="inlineStr">
        <is>
          <t>OTIS_INSERT</t>
        </is>
      </c>
      <c r="S2" t="inlineStr">
        <is>
          <t/>
        </is>
      </c>
      <c r="T2" t="inlineStr">
        <is>
          <t/>
        </is>
      </c>
    </row>
    <row r="3">
      <c r="A3" s="4">
        <f>=HYPERLINK("https://depedms.dep.state.fl.us:443/Oculus/servlet/shell?command=view&amp;[guid=38.1270869.1]&amp;[profile=Sampling]","View Document (.pdf)")</f>
        <v>0.0</v>
      </c>
      <c r="B3" t="inlineStr">
        <is>
          <t>Document</t>
        </is>
      </c>
      <c r="C3" t="inlineStr">
        <is>
          <t>Sampling</t>
        </is>
      </c>
      <c r="D3" t="inlineStr">
        <is>
          <t>FL0029653</t>
        </is>
      </c>
      <c r="E3" t="inlineStr">
        <is>
          <t>01-01-2024</t>
        </is>
      </c>
      <c r="F3" t="inlineStr">
        <is>
          <t>02-28-2024</t>
        </is>
      </c>
      <c r="G3" t="inlineStr">
        <is>
          <t>DISCHARGE MONITORING REPORTS RELATED</t>
        </is>
      </c>
      <c r="H3" t="inlineStr">
        <is>
          <t>INDUSTRIAL WASTEWATER</t>
        </is>
      </c>
      <c r="I3" t="inlineStr">
        <is>
          <t/>
        </is>
      </c>
      <c r="J3" t="inlineStr">
        <is>
          <t/>
        </is>
      </c>
      <c r="K3" t="inlineStr">
        <is>
          <t>DMR 2024 JAN MO 01.2024 DISCHARGE REPORT (761028)</t>
        </is>
      </c>
      <c r="L3" t="inlineStr">
        <is>
          <t>POLK</t>
        </is>
      </c>
      <c r="M3" t="inlineStr">
        <is>
          <t>SWD</t>
        </is>
      </c>
      <c r="N3" t="inlineStr">
        <is>
          <t>59 KB</t>
        </is>
      </c>
      <c r="O3" t="inlineStr">
        <is>
          <t>1.0</t>
        </is>
      </c>
      <c r="P3" t="inlineStr">
        <is>
          <t>Y</t>
        </is>
      </c>
      <c r="Q3" t="inlineStr">
        <is>
          <t>02-28-2024</t>
        </is>
      </c>
      <c r="R3" t="inlineStr">
        <is>
          <t>OTIS_INSERT</t>
        </is>
      </c>
      <c r="S3" t="inlineStr">
        <is>
          <t/>
        </is>
      </c>
      <c r="T3" t="inlineStr">
        <is>
          <t/>
        </is>
      </c>
    </row>
    <row r="4">
      <c r="A4" s="4">
        <f>=HYPERLINK("https://depedms.dep.state.fl.us:443/Oculus/servlet/shell?command=view&amp;[guid=38.1317520.1]&amp;[profile=Sampling]","View Document (.pdf)")</f>
        <v>0.0</v>
      </c>
      <c r="B4" t="inlineStr">
        <is>
          <t>Document</t>
        </is>
      </c>
      <c r="C4" t="inlineStr">
        <is>
          <t>Sampling</t>
        </is>
      </c>
      <c r="D4" t="inlineStr">
        <is>
          <t>FL0029653</t>
        </is>
      </c>
      <c r="E4" t="inlineStr">
        <is>
          <t>07-01-2024</t>
        </is>
      </c>
      <c r="F4" t="inlineStr">
        <is>
          <t>08-19-2024</t>
        </is>
      </c>
      <c r="G4" t="inlineStr">
        <is>
          <t>DISCHARGE MONITORING REPORTS RELATED</t>
        </is>
      </c>
      <c r="H4" t="inlineStr">
        <is>
          <t>INDUSTRIAL WASTEWATER</t>
        </is>
      </c>
      <c r="I4" t="inlineStr">
        <is>
          <t/>
        </is>
      </c>
      <c r="J4" t="inlineStr">
        <is>
          <t/>
        </is>
      </c>
      <c r="K4" t="inlineStr">
        <is>
          <t>DMR 2024 JUL MO PART A (783227) D-001</t>
        </is>
      </c>
      <c r="L4" t="inlineStr">
        <is>
          <t>POLK</t>
        </is>
      </c>
      <c r="M4" t="inlineStr">
        <is>
          <t>SWD</t>
        </is>
      </c>
      <c r="N4" t="inlineStr">
        <is>
          <t>14 KB</t>
        </is>
      </c>
      <c r="O4" t="inlineStr">
        <is>
          <t>1.0</t>
        </is>
      </c>
      <c r="P4" t="inlineStr">
        <is>
          <t>Y</t>
        </is>
      </c>
      <c r="Q4" t="inlineStr">
        <is>
          <t>08-20-2024</t>
        </is>
      </c>
      <c r="R4" t="inlineStr">
        <is>
          <t>OTIS_INSERT</t>
        </is>
      </c>
      <c r="S4" t="inlineStr">
        <is>
          <t/>
        </is>
      </c>
      <c r="T4" t="inlineStr">
        <is>
          <t/>
        </is>
      </c>
    </row>
    <row r="5">
      <c r="A5" s="4">
        <f>=HYPERLINK("https://depedms.dep.state.fl.us:443/Oculus/servlet/shell?command=view&amp;[guid=38.1356112.1]&amp;[profile=Sampling]","View Document (.pdf)")</f>
        <v>0.0</v>
      </c>
      <c r="B5" t="inlineStr">
        <is>
          <t>Document</t>
        </is>
      </c>
      <c r="C5" t="inlineStr">
        <is>
          <t>Sampling</t>
        </is>
      </c>
      <c r="D5" t="inlineStr">
        <is>
          <t>FL0029653</t>
        </is>
      </c>
      <c r="E5" t="inlineStr">
        <is>
          <t>01-01-2024</t>
        </is>
      </c>
      <c r="F5" t="inlineStr">
        <is>
          <t>01-08-2025</t>
        </is>
      </c>
      <c r="G5" t="inlineStr">
        <is>
          <t>DISCHARGE MONITORING REPORTS RELATED</t>
        </is>
      </c>
      <c r="H5" t="inlineStr">
        <is>
          <t>INDUSTRIAL WASTEWATER</t>
        </is>
      </c>
      <c r="I5" t="inlineStr">
        <is>
          <t/>
        </is>
      </c>
      <c r="J5" t="inlineStr">
        <is>
          <t/>
        </is>
      </c>
      <c r="K5" t="inlineStr">
        <is>
          <t>DMR 2024 JAN YR PART A (764048) D-001</t>
        </is>
      </c>
      <c r="L5" t="inlineStr">
        <is>
          <t>POLK</t>
        </is>
      </c>
      <c r="M5" t="inlineStr">
        <is>
          <t>SWD</t>
        </is>
      </c>
      <c r="N5" t="inlineStr">
        <is>
          <t>6 KB</t>
        </is>
      </c>
      <c r="O5" t="inlineStr">
        <is>
          <t>1.0</t>
        </is>
      </c>
      <c r="P5" t="inlineStr">
        <is>
          <t>Y</t>
        </is>
      </c>
      <c r="Q5" t="inlineStr">
        <is>
          <t>01-08-2025</t>
        </is>
      </c>
      <c r="R5" t="inlineStr">
        <is>
          <t>OTIS_INSERT</t>
        </is>
      </c>
      <c r="S5" t="inlineStr">
        <is>
          <t/>
        </is>
      </c>
      <c r="T5" t="inlineStr">
        <is>
          <t/>
        </is>
      </c>
    </row>
    <row r="6">
      <c r="A6" s="4">
        <f>=HYPERLINK("https://depedms.dep.state.fl.us:443/Oculus/servlet/shell?command=view&amp;[guid=38.1358297.1]&amp;[profile=Sampling]","View Document (.pdf)")</f>
        <v>0.0</v>
      </c>
      <c r="B6" t="inlineStr">
        <is>
          <t>Document</t>
        </is>
      </c>
      <c r="C6" t="inlineStr">
        <is>
          <t>Sampling</t>
        </is>
      </c>
      <c r="D6" t="inlineStr">
        <is>
          <t>FL0029653</t>
        </is>
      </c>
      <c r="E6" t="inlineStr">
        <is>
          <t>01-01-2024</t>
        </is>
      </c>
      <c r="F6" t="inlineStr">
        <is>
          <t>01-08-2025</t>
        </is>
      </c>
      <c r="G6" t="inlineStr">
        <is>
          <t>DISCHARGE MONITORING REPORTS RELATED</t>
        </is>
      </c>
      <c r="H6" t="inlineStr">
        <is>
          <t>INDUSTRIAL WASTEWATER</t>
        </is>
      </c>
      <c r="I6" t="inlineStr">
        <is>
          <t/>
        </is>
      </c>
      <c r="J6" t="inlineStr">
        <is>
          <t/>
        </is>
      </c>
      <c r="K6" t="inlineStr">
        <is>
          <t>DMR (R) 2024 JAN YR PART A (806272) D-001</t>
        </is>
      </c>
      <c r="L6" t="inlineStr">
        <is>
          <t>POLK</t>
        </is>
      </c>
      <c r="M6" t="inlineStr">
        <is>
          <t>SWD</t>
        </is>
      </c>
      <c r="N6" t="inlineStr">
        <is>
          <t>6 KB</t>
        </is>
      </c>
      <c r="O6" t="inlineStr">
        <is>
          <t>1.0</t>
        </is>
      </c>
      <c r="P6" t="inlineStr">
        <is>
          <t>Y</t>
        </is>
      </c>
      <c r="Q6" t="inlineStr">
        <is>
          <t>01-15-2025</t>
        </is>
      </c>
      <c r="R6" t="inlineStr">
        <is>
          <t>OTIS_INSERT</t>
        </is>
      </c>
      <c r="S6" t="inlineStr">
        <is>
          <t/>
        </is>
      </c>
      <c r="T6" t="inlineStr">
        <is>
          <t/>
        </is>
      </c>
    </row>
    <row r="7">
      <c r="A7" s="4">
        <f>=HYPERLINK("https://depedms.dep.state.fl.us:443/Oculus/servlet/shell?command=view&amp;[guid=38.1358293.1]&amp;[profile=Sampling]","View Document (.pdf)")</f>
        <v>0.0</v>
      </c>
      <c r="B7" t="inlineStr">
        <is>
          <t>Document</t>
        </is>
      </c>
      <c r="C7" t="inlineStr">
        <is>
          <t>Sampling</t>
        </is>
      </c>
      <c r="D7" t="inlineStr">
        <is>
          <t>FL0029653</t>
        </is>
      </c>
      <c r="E7" t="inlineStr">
        <is>
          <t>12-01-2024</t>
        </is>
      </c>
      <c r="F7" t="inlineStr">
        <is>
          <t>01-08-2025</t>
        </is>
      </c>
      <c r="G7" t="inlineStr">
        <is>
          <t>DISCHARGE MONITORING REPORTS RELATED</t>
        </is>
      </c>
      <c r="H7" t="inlineStr">
        <is>
          <t>INDUSTRIAL WASTEWATER</t>
        </is>
      </c>
      <c r="I7" t="inlineStr">
        <is>
          <t/>
        </is>
      </c>
      <c r="J7" t="inlineStr">
        <is>
          <t/>
        </is>
      </c>
      <c r="K7" t="inlineStr">
        <is>
          <t>DMR 2024 DEC MO PART A (799929) D-001</t>
        </is>
      </c>
      <c r="L7" t="inlineStr">
        <is>
          <t>POLK</t>
        </is>
      </c>
      <c r="M7" t="inlineStr">
        <is>
          <t>SWD</t>
        </is>
      </c>
      <c r="N7" t="inlineStr">
        <is>
          <t>14 KB</t>
        </is>
      </c>
      <c r="O7" t="inlineStr">
        <is>
          <t>1.0</t>
        </is>
      </c>
      <c r="P7" t="inlineStr">
        <is>
          <t>Y</t>
        </is>
      </c>
      <c r="Q7" t="inlineStr">
        <is>
          <t>01-15-2025</t>
        </is>
      </c>
      <c r="R7" t="inlineStr">
        <is>
          <t>OTIS_INSERT</t>
        </is>
      </c>
      <c r="S7" t="inlineStr">
        <is>
          <t/>
        </is>
      </c>
      <c r="T7" t="inlineStr">
        <is>
          <t/>
        </is>
      </c>
    </row>
    <row r="8">
      <c r="A8" s="4">
        <f>=HYPERLINK("https://depedms.dep.state.fl.us:443/Oculus/servlet/shell?command=view&amp;[guid=38.1358298.1]&amp;[profile=Sampling]","View Document (.pdf)")</f>
        <v>0.0</v>
      </c>
      <c r="B8" t="inlineStr">
        <is>
          <t>Document</t>
        </is>
      </c>
      <c r="C8" t="inlineStr">
        <is>
          <t>Sampling</t>
        </is>
      </c>
      <c r="D8" t="inlineStr">
        <is>
          <t>FL0029653</t>
        </is>
      </c>
      <c r="E8" t="inlineStr">
        <is>
          <t>01-01-2024</t>
        </is>
      </c>
      <c r="F8" t="inlineStr">
        <is>
          <t>01-08-2025</t>
        </is>
      </c>
      <c r="G8" t="inlineStr">
        <is>
          <t>DISCHARGE MONITORING REPORTS RELATED</t>
        </is>
      </c>
      <c r="H8" t="inlineStr">
        <is>
          <t>INDUSTRIAL WASTEWATER</t>
        </is>
      </c>
      <c r="I8" t="inlineStr">
        <is>
          <t/>
        </is>
      </c>
      <c r="J8" t="inlineStr">
        <is>
          <t/>
        </is>
      </c>
      <c r="K8" t="inlineStr">
        <is>
          <t>DMR (R) 2024 JAN YR PART A (806273) D-001</t>
        </is>
      </c>
      <c r="L8" t="inlineStr">
        <is>
          <t>POLK</t>
        </is>
      </c>
      <c r="M8" t="inlineStr">
        <is>
          <t>SWD</t>
        </is>
      </c>
      <c r="N8" t="inlineStr">
        <is>
          <t>6 KB</t>
        </is>
      </c>
      <c r="O8" t="inlineStr">
        <is>
          <t>1.0</t>
        </is>
      </c>
      <c r="P8" t="inlineStr">
        <is>
          <t>Y</t>
        </is>
      </c>
      <c r="Q8" t="inlineStr">
        <is>
          <t>01-15-2025</t>
        </is>
      </c>
      <c r="R8" t="inlineStr">
        <is>
          <t>OTIS_INSERT</t>
        </is>
      </c>
      <c r="S8" t="inlineStr">
        <is>
          <t/>
        </is>
      </c>
      <c r="T8" t="inlineStr">
        <is>
          <t/>
        </is>
      </c>
    </row>
    <row r="9">
      <c r="A9" s="4">
        <f>=HYPERLINK("https://depedms.dep.state.fl.us:443/Oculus/servlet/shell?command=view&amp;[guid=38.1300392.1]&amp;[profile=Sampling]","View Document (.pdf)")</f>
        <v>0.0</v>
      </c>
      <c r="B9" t="inlineStr">
        <is>
          <t>Document</t>
        </is>
      </c>
      <c r="C9" t="inlineStr">
        <is>
          <t>Sampling</t>
        </is>
      </c>
      <c r="D9" t="inlineStr">
        <is>
          <t>FL0029653</t>
        </is>
      </c>
      <c r="E9" t="inlineStr">
        <is>
          <t>05-01-2024</t>
        </is>
      </c>
      <c r="F9" t="inlineStr">
        <is>
          <t>06-19-2024</t>
        </is>
      </c>
      <c r="G9" t="inlineStr">
        <is>
          <t>DISCHARGE MONITORING REPORTS RELATED</t>
        </is>
      </c>
      <c r="H9" t="inlineStr">
        <is>
          <t>INDUSTRIAL WASTEWATER</t>
        </is>
      </c>
      <c r="I9" t="inlineStr">
        <is>
          <t/>
        </is>
      </c>
      <c r="J9" t="inlineStr">
        <is>
          <t/>
        </is>
      </c>
      <c r="K9" t="inlineStr">
        <is>
          <t>DMR 2024 MAY MO MAY 2024 (779125)</t>
        </is>
      </c>
      <c r="L9" t="inlineStr">
        <is>
          <t>POLK</t>
        </is>
      </c>
      <c r="M9" t="inlineStr">
        <is>
          <t>SWD</t>
        </is>
      </c>
      <c r="N9" t="inlineStr">
        <is>
          <t>14 KB</t>
        </is>
      </c>
      <c r="O9" t="inlineStr">
        <is>
          <t>1.0</t>
        </is>
      </c>
      <c r="P9" t="inlineStr">
        <is>
          <t>Y</t>
        </is>
      </c>
      <c r="Q9" t="inlineStr">
        <is>
          <t>06-19-2024</t>
        </is>
      </c>
      <c r="R9" t="inlineStr">
        <is>
          <t>OTIS_INSERT</t>
        </is>
      </c>
      <c r="S9" t="inlineStr">
        <is>
          <t/>
        </is>
      </c>
      <c r="T9" t="inlineStr">
        <is>
          <t/>
        </is>
      </c>
    </row>
    <row r="10">
      <c r="A10" s="4">
        <f>=HYPERLINK("https://depedms.dep.state.fl.us:443/Oculus/servlet/shell?command=view&amp;[guid=38.1300386.1]&amp;[profile=Sampling]","View Document (.pdf)")</f>
        <v>0.0</v>
      </c>
      <c r="B10" t="inlineStr">
        <is>
          <t>Document</t>
        </is>
      </c>
      <c r="C10" t="inlineStr">
        <is>
          <t>Sampling</t>
        </is>
      </c>
      <c r="D10" t="inlineStr">
        <is>
          <t>FL0029653</t>
        </is>
      </c>
      <c r="E10" t="inlineStr">
        <is>
          <t>03-01-2024</t>
        </is>
      </c>
      <c r="F10" t="inlineStr">
        <is>
          <t>04-03-2024</t>
        </is>
      </c>
      <c r="G10" t="inlineStr">
        <is>
          <t>DISCHARGE MONITORING REPORTS RELATED</t>
        </is>
      </c>
      <c r="H10" t="inlineStr">
        <is>
          <t>INDUSTRIAL WASTEWATER</t>
        </is>
      </c>
      <c r="I10" t="inlineStr">
        <is>
          <t/>
        </is>
      </c>
      <c r="J10" t="inlineStr">
        <is>
          <t/>
        </is>
      </c>
      <c r="K10" t="inlineStr">
        <is>
          <t>DMR 2024 MAR MO MARCH2024 (770043)</t>
        </is>
      </c>
      <c r="L10" t="inlineStr">
        <is>
          <t>POLK</t>
        </is>
      </c>
      <c r="M10" t="inlineStr">
        <is>
          <t>SWD</t>
        </is>
      </c>
      <c r="N10" t="inlineStr">
        <is>
          <t>14 KB</t>
        </is>
      </c>
      <c r="O10" t="inlineStr">
        <is>
          <t>1.0</t>
        </is>
      </c>
      <c r="P10" t="inlineStr">
        <is>
          <t>Y</t>
        </is>
      </c>
      <c r="Q10" t="inlineStr">
        <is>
          <t>06-19-2024</t>
        </is>
      </c>
      <c r="R10" t="inlineStr">
        <is>
          <t>OTIS_INSERT</t>
        </is>
      </c>
      <c r="S10" t="inlineStr">
        <is>
          <t/>
        </is>
      </c>
      <c r="T10" t="inlineStr">
        <is>
          <t/>
        </is>
      </c>
    </row>
    <row r="11">
      <c r="A11" s="4">
        <f>=HYPERLINK("https://depedms.dep.state.fl.us:443/Oculus/servlet/shell?command=view&amp;[guid=38.1300383.1]&amp;[profile=Sampling]","View Document (.pdf)")</f>
        <v>0.0</v>
      </c>
      <c r="B11" t="inlineStr">
        <is>
          <t>Document</t>
        </is>
      </c>
      <c r="C11" t="inlineStr">
        <is>
          <t>Sampling</t>
        </is>
      </c>
      <c r="D11" t="inlineStr">
        <is>
          <t>FL0029653</t>
        </is>
      </c>
      <c r="E11" t="inlineStr">
        <is>
          <t>02-01-2024</t>
        </is>
      </c>
      <c r="F11" t="inlineStr">
        <is>
          <t>03-11-2024</t>
        </is>
      </c>
      <c r="G11" t="inlineStr">
        <is>
          <t>DISCHARGE MONITORING REPORTS RELATED</t>
        </is>
      </c>
      <c r="H11" t="inlineStr">
        <is>
          <t>INDUSTRIAL WASTEWATER</t>
        </is>
      </c>
      <c r="I11" t="inlineStr">
        <is>
          <t/>
        </is>
      </c>
      <c r="J11" t="inlineStr">
        <is>
          <t/>
        </is>
      </c>
      <c r="K11" t="inlineStr">
        <is>
          <t>DMR 2024 FEB MO PART A (767616) D-001</t>
        </is>
      </c>
      <c r="L11" t="inlineStr">
        <is>
          <t>POLK</t>
        </is>
      </c>
      <c r="M11" t="inlineStr">
        <is>
          <t>SWD</t>
        </is>
      </c>
      <c r="N11" t="inlineStr">
        <is>
          <t>14 KB</t>
        </is>
      </c>
      <c r="O11" t="inlineStr">
        <is>
          <t>1.0</t>
        </is>
      </c>
      <c r="P11" t="inlineStr">
        <is>
          <t>Y</t>
        </is>
      </c>
      <c r="Q11" t="inlineStr">
        <is>
          <t>06-19-2024</t>
        </is>
      </c>
      <c r="R11" t="inlineStr">
        <is>
          <t>OTIS_INSERT</t>
        </is>
      </c>
      <c r="S11" t="inlineStr">
        <is>
          <t/>
        </is>
      </c>
      <c r="T11" t="inlineStr">
        <is>
          <t/>
        </is>
      </c>
    </row>
    <row r="12">
      <c r="A12" s="4">
        <f>=HYPERLINK("https://depedms.dep.state.fl.us:443/Oculus/servlet/shell?command=view&amp;[guid=38.1300385.1]&amp;[profile=Sampling]","View Document (.pdf)")</f>
        <v>0.0</v>
      </c>
      <c r="B12" t="inlineStr">
        <is>
          <t>Document</t>
        </is>
      </c>
      <c r="C12" t="inlineStr">
        <is>
          <t>Sampling</t>
        </is>
      </c>
      <c r="D12" t="inlineStr">
        <is>
          <t>FL0029653</t>
        </is>
      </c>
      <c r="E12" t="inlineStr">
        <is>
          <t>03-01-2024</t>
        </is>
      </c>
      <c r="F12" t="inlineStr">
        <is>
          <t>04-03-2024</t>
        </is>
      </c>
      <c r="G12" t="inlineStr">
        <is>
          <t>DISCHARGE MONITORING REPORTS RELATED</t>
        </is>
      </c>
      <c r="H12" t="inlineStr">
        <is>
          <t>INDUSTRIAL WASTEWATER</t>
        </is>
      </c>
      <c r="I12" t="inlineStr">
        <is>
          <t/>
        </is>
      </c>
      <c r="J12" t="inlineStr">
        <is>
          <t/>
        </is>
      </c>
      <c r="K12" t="inlineStr">
        <is>
          <t>DMR 2024 MAR MO PART A (770043) D-001</t>
        </is>
      </c>
      <c r="L12" t="inlineStr">
        <is>
          <t>POLK</t>
        </is>
      </c>
      <c r="M12" t="inlineStr">
        <is>
          <t>SWD</t>
        </is>
      </c>
      <c r="N12" t="inlineStr">
        <is>
          <t>14 KB</t>
        </is>
      </c>
      <c r="O12" t="inlineStr">
        <is>
          <t>1.0</t>
        </is>
      </c>
      <c r="P12" t="inlineStr">
        <is>
          <t>Y</t>
        </is>
      </c>
      <c r="Q12" t="inlineStr">
        <is>
          <t>06-19-2024</t>
        </is>
      </c>
      <c r="R12" t="inlineStr">
        <is>
          <t>OTIS_INSERT</t>
        </is>
      </c>
      <c r="S12" t="inlineStr">
        <is>
          <t/>
        </is>
      </c>
      <c r="T12" t="inlineStr">
        <is>
          <t/>
        </is>
      </c>
    </row>
    <row r="13">
      <c r="A13" s="4">
        <f>=HYPERLINK("https://depedms.dep.state.fl.us:443/Oculus/servlet/shell?command=view&amp;[guid=38.1300393.1]&amp;[profile=Sampling]","View Document (.pdf)")</f>
        <v>0.0</v>
      </c>
      <c r="B13" t="inlineStr">
        <is>
          <t>Document</t>
        </is>
      </c>
      <c r="C13" t="inlineStr">
        <is>
          <t>Sampling</t>
        </is>
      </c>
      <c r="D13" t="inlineStr">
        <is>
          <t>FL0029653</t>
        </is>
      </c>
      <c r="E13" t="inlineStr">
        <is>
          <t>04-01-2024</t>
        </is>
      </c>
      <c r="F13" t="inlineStr">
        <is>
          <t>05-28-2024</t>
        </is>
      </c>
      <c r="G13" t="inlineStr">
        <is>
          <t>DISCHARGE MONITORING REPORTS RELATED</t>
        </is>
      </c>
      <c r="H13" t="inlineStr">
        <is>
          <t>INDUSTRIAL WASTEWATER</t>
        </is>
      </c>
      <c r="I13" t="inlineStr">
        <is>
          <t/>
        </is>
      </c>
      <c r="J13" t="inlineStr">
        <is>
          <t/>
        </is>
      </c>
      <c r="K13" t="inlineStr">
        <is>
          <t>DMR 2024 APR MO APRIL2024 (775029)</t>
        </is>
      </c>
      <c r="L13" t="inlineStr">
        <is>
          <t>POLK</t>
        </is>
      </c>
      <c r="M13" t="inlineStr">
        <is>
          <t>SWD</t>
        </is>
      </c>
      <c r="N13" t="inlineStr">
        <is>
          <t>14 KB</t>
        </is>
      </c>
      <c r="O13" t="inlineStr">
        <is>
          <t>1.0</t>
        </is>
      </c>
      <c r="P13" t="inlineStr">
        <is>
          <t>Y</t>
        </is>
      </c>
      <c r="Q13" t="inlineStr">
        <is>
          <t>06-19-2024</t>
        </is>
      </c>
      <c r="R13" t="inlineStr">
        <is>
          <t>OTIS_INSERT</t>
        </is>
      </c>
      <c r="S13" t="inlineStr">
        <is>
          <t/>
        </is>
      </c>
      <c r="T13" t="inlineStr">
        <is>
          <t/>
        </is>
      </c>
    </row>
    <row r="14">
      <c r="A14" s="4">
        <f>=HYPERLINK("https://depedms.dep.state.fl.us:443/Oculus/servlet/shell?command=view&amp;[guid=38.1300391.1]&amp;[profile=Sampling]","View Document (.pdf)")</f>
        <v>0.0</v>
      </c>
      <c r="B14" t="inlineStr">
        <is>
          <t>Document</t>
        </is>
      </c>
      <c r="C14" t="inlineStr">
        <is>
          <t>Sampling</t>
        </is>
      </c>
      <c r="D14" t="inlineStr">
        <is>
          <t>FL0029653</t>
        </is>
      </c>
      <c r="E14" t="inlineStr">
        <is>
          <t>05-01-2024</t>
        </is>
      </c>
      <c r="F14" t="inlineStr">
        <is>
          <t>06-19-2024</t>
        </is>
      </c>
      <c r="G14" t="inlineStr">
        <is>
          <t>DISCHARGE MONITORING REPORTS RELATED</t>
        </is>
      </c>
      <c r="H14" t="inlineStr">
        <is>
          <t>INDUSTRIAL WASTEWATER</t>
        </is>
      </c>
      <c r="I14" t="inlineStr">
        <is>
          <t/>
        </is>
      </c>
      <c r="J14" t="inlineStr">
        <is>
          <t/>
        </is>
      </c>
      <c r="K14" t="inlineStr">
        <is>
          <t>DMR 2024 MAY MO PART A (779125) D-001</t>
        </is>
      </c>
      <c r="L14" t="inlineStr">
        <is>
          <t>POLK</t>
        </is>
      </c>
      <c r="M14" t="inlineStr">
        <is>
          <t>SWD</t>
        </is>
      </c>
      <c r="N14" t="inlineStr">
        <is>
          <t>14 KB</t>
        </is>
      </c>
      <c r="O14" t="inlineStr">
        <is>
          <t>1.0</t>
        </is>
      </c>
      <c r="P14" t="inlineStr">
        <is>
          <t>Y</t>
        </is>
      </c>
      <c r="Q14" t="inlineStr">
        <is>
          <t>06-19-2024</t>
        </is>
      </c>
      <c r="R14" t="inlineStr">
        <is>
          <t>OTIS_INSERT</t>
        </is>
      </c>
      <c r="S14" t="inlineStr">
        <is>
          <t/>
        </is>
      </c>
      <c r="T14" t="inlineStr">
        <is>
          <t/>
        </is>
      </c>
    </row>
    <row r="15">
      <c r="A15" s="4">
        <f>=HYPERLINK("https://depedms.dep.state.fl.us:443/Oculus/servlet/shell?command=view&amp;[guid=38.1300384.1]&amp;[profile=Sampling]","View Document (.pdf)")</f>
        <v>0.0</v>
      </c>
      <c r="B15" t="inlineStr">
        <is>
          <t>Document</t>
        </is>
      </c>
      <c r="C15" t="inlineStr">
        <is>
          <t>Sampling</t>
        </is>
      </c>
      <c r="D15" t="inlineStr">
        <is>
          <t>FL0029653</t>
        </is>
      </c>
      <c r="E15" t="inlineStr">
        <is>
          <t>02-01-2024</t>
        </is>
      </c>
      <c r="F15" t="inlineStr">
        <is>
          <t>03-11-2024</t>
        </is>
      </c>
      <c r="G15" t="inlineStr">
        <is>
          <t>DISCHARGE MONITORING REPORTS RELATED</t>
        </is>
      </c>
      <c r="H15" t="inlineStr">
        <is>
          <t>INDUSTRIAL WASTEWATER</t>
        </is>
      </c>
      <c r="I15" t="inlineStr">
        <is>
          <t/>
        </is>
      </c>
      <c r="J15" t="inlineStr">
        <is>
          <t/>
        </is>
      </c>
      <c r="K15" t="inlineStr">
        <is>
          <t>DMR 2024 FEB MO FEBRUARY2024 (767616)</t>
        </is>
      </c>
      <c r="L15" t="inlineStr">
        <is>
          <t>POLK</t>
        </is>
      </c>
      <c r="M15" t="inlineStr">
        <is>
          <t>SWD</t>
        </is>
      </c>
      <c r="N15" t="inlineStr">
        <is>
          <t>14 KB</t>
        </is>
      </c>
      <c r="O15" t="inlineStr">
        <is>
          <t>1.0</t>
        </is>
      </c>
      <c r="P15" t="inlineStr">
        <is>
          <t>Y</t>
        </is>
      </c>
      <c r="Q15" t="inlineStr">
        <is>
          <t>06-19-2024</t>
        </is>
      </c>
      <c r="R15" t="inlineStr">
        <is>
          <t>OTIS_INSERT</t>
        </is>
      </c>
      <c r="S15" t="inlineStr">
        <is>
          <t/>
        </is>
      </c>
      <c r="T15" t="inlineStr">
        <is>
          <t/>
        </is>
      </c>
    </row>
    <row r="16">
      <c r="A16" s="4">
        <f>=HYPERLINK("https://depedms.dep.state.fl.us:443/Oculus/servlet/shell?command=view&amp;[guid=38.1300395.1]&amp;[profile=Sampling]","View Document (.pdf)")</f>
        <v>0.0</v>
      </c>
      <c r="B16" t="inlineStr">
        <is>
          <t>Document</t>
        </is>
      </c>
      <c r="C16" t="inlineStr">
        <is>
          <t>Sampling</t>
        </is>
      </c>
      <c r="D16" t="inlineStr">
        <is>
          <t>FL0029653</t>
        </is>
      </c>
      <c r="E16" t="inlineStr">
        <is>
          <t>04-01-2024</t>
        </is>
      </c>
      <c r="F16" t="inlineStr">
        <is>
          <t>05-28-2024</t>
        </is>
      </c>
      <c r="G16" t="inlineStr">
        <is>
          <t>DISCHARGE MONITORING REPORTS RELATED</t>
        </is>
      </c>
      <c r="H16" t="inlineStr">
        <is>
          <t>INDUSTRIAL WASTEWATER</t>
        </is>
      </c>
      <c r="I16" t="inlineStr">
        <is>
          <t/>
        </is>
      </c>
      <c r="J16" t="inlineStr">
        <is>
          <t/>
        </is>
      </c>
      <c r="K16" t="inlineStr">
        <is>
          <t>DMR 2024 APR MO PART A (775029) D-001</t>
        </is>
      </c>
      <c r="L16" t="inlineStr">
        <is>
          <t>POLK</t>
        </is>
      </c>
      <c r="M16" t="inlineStr">
        <is>
          <t>SWD</t>
        </is>
      </c>
      <c r="N16" t="inlineStr">
        <is>
          <t>14 KB</t>
        </is>
      </c>
      <c r="O16" t="inlineStr">
        <is>
          <t>1.0</t>
        </is>
      </c>
      <c r="P16" t="inlineStr">
        <is>
          <t>Y</t>
        </is>
      </c>
      <c r="Q16" t="inlineStr">
        <is>
          <t>06-19-2024</t>
        </is>
      </c>
      <c r="R16" t="inlineStr">
        <is>
          <t>OTIS_INSERT</t>
        </is>
      </c>
      <c r="S16" t="inlineStr">
        <is>
          <t/>
        </is>
      </c>
      <c r="T16" t="inlineStr">
        <is>
          <t/>
        </is>
      </c>
    </row>
    <row r="17">
      <c r="A17" s="4">
        <f>=HYPERLINK("https://depedms.dep.state.fl.us:443/Oculus/servlet/shell?command=view&amp;[guid=38.1305840.1]&amp;[profile=Sampling]","View Document (.pdf)")</f>
        <v>0.0</v>
      </c>
      <c r="B17" t="inlineStr">
        <is>
          <t>Document</t>
        </is>
      </c>
      <c r="C17" t="inlineStr">
        <is>
          <t>Sampling</t>
        </is>
      </c>
      <c r="D17" t="inlineStr">
        <is>
          <t>FL0029653</t>
        </is>
      </c>
      <c r="E17" t="inlineStr">
        <is>
          <t>06-01-2024</t>
        </is>
      </c>
      <c r="F17" t="inlineStr">
        <is>
          <t>07-09-2024</t>
        </is>
      </c>
      <c r="G17" t="inlineStr">
        <is>
          <t>DISCHARGE MONITORING REPORTS RELATED</t>
        </is>
      </c>
      <c r="H17" t="inlineStr">
        <is>
          <t>INDUSTRIAL WASTEWATER</t>
        </is>
      </c>
      <c r="I17" t="inlineStr">
        <is>
          <t/>
        </is>
      </c>
      <c r="J17" t="inlineStr">
        <is>
          <t/>
        </is>
      </c>
      <c r="K17" t="inlineStr">
        <is>
          <t>DMR 2024 JUN MO PART A (782034) D-001</t>
        </is>
      </c>
      <c r="L17" t="inlineStr">
        <is>
          <t>POLK</t>
        </is>
      </c>
      <c r="M17" t="inlineStr">
        <is>
          <t>SWD</t>
        </is>
      </c>
      <c r="N17" t="inlineStr">
        <is>
          <t>14 KB</t>
        </is>
      </c>
      <c r="O17" t="inlineStr">
        <is>
          <t>1.0</t>
        </is>
      </c>
      <c r="P17" t="inlineStr">
        <is>
          <t>Y</t>
        </is>
      </c>
      <c r="Q17" t="inlineStr">
        <is>
          <t>07-09-2024</t>
        </is>
      </c>
      <c r="R17" t="inlineStr">
        <is>
          <t>OTIS_INSERT</t>
        </is>
      </c>
      <c r="S17" t="inlineStr">
        <is>
          <t/>
        </is>
      </c>
      <c r="T17" t="inlineStr">
        <is>
          <t/>
        </is>
      </c>
    </row>
    <row r="18">
      <c r="A18" s="4">
        <f>=HYPERLINK("https://depedms.dep.state.fl.us:443/Oculus/servlet/shell?command=view&amp;[guid=38.1325786.1]&amp;[profile=Sampling]","View Document (.pdf)")</f>
        <v>0.0</v>
      </c>
      <c r="B18" t="inlineStr">
        <is>
          <t>Document</t>
        </is>
      </c>
      <c r="C18" t="inlineStr">
        <is>
          <t>Sampling</t>
        </is>
      </c>
      <c r="D18" t="inlineStr">
        <is>
          <t>FL0029653</t>
        </is>
      </c>
      <c r="E18" t="inlineStr">
        <is>
          <t>08-01-2024</t>
        </is>
      </c>
      <c r="F18" t="inlineStr">
        <is>
          <t>09-20-2024</t>
        </is>
      </c>
      <c r="G18" t="inlineStr">
        <is>
          <t>DISCHARGE MONITORING REPORTS RELATED</t>
        </is>
      </c>
      <c r="H18" t="inlineStr">
        <is>
          <t>INDUSTRIAL WASTEWATER</t>
        </is>
      </c>
      <c r="I18" t="inlineStr">
        <is>
          <t/>
        </is>
      </c>
      <c r="J18" t="inlineStr">
        <is>
          <t/>
        </is>
      </c>
      <c r="K18" t="inlineStr">
        <is>
          <t>DMR 2024 AUG MO PART A (783228) D-001</t>
        </is>
      </c>
      <c r="L18" t="inlineStr">
        <is>
          <t>POLK</t>
        </is>
      </c>
      <c r="M18" t="inlineStr">
        <is>
          <t>SWD</t>
        </is>
      </c>
      <c r="N18" t="inlineStr">
        <is>
          <t>14 KB</t>
        </is>
      </c>
      <c r="O18" t="inlineStr">
        <is>
          <t>1.0</t>
        </is>
      </c>
      <c r="P18" t="inlineStr">
        <is>
          <t>Y</t>
        </is>
      </c>
      <c r="Q18" t="inlineStr">
        <is>
          <t>09-20-2024</t>
        </is>
      </c>
      <c r="R18" t="inlineStr">
        <is>
          <t>OTIS_INSERT</t>
        </is>
      </c>
      <c r="S18" t="inlineStr">
        <is>
          <t/>
        </is>
      </c>
      <c r="T18" t="inlineStr">
        <is>
          <t/>
        </is>
      </c>
    </row>
    <row r="19">
      <c r="A19" s="4">
        <f>=HYPERLINK("https://depedms.dep.state.fl.us:443/Oculus/servlet/shell?command=view&amp;[guid=38.1328840.1]&amp;[profile=Sampling]","View Document (.pdf)")</f>
        <v>0.0</v>
      </c>
      <c r="B19" t="inlineStr">
        <is>
          <t>Document</t>
        </is>
      </c>
      <c r="C19" t="inlineStr">
        <is>
          <t>Sampling</t>
        </is>
      </c>
      <c r="D19" t="inlineStr">
        <is>
          <t>FL0029653</t>
        </is>
      </c>
      <c r="E19" t="inlineStr">
        <is>
          <t>09-01-2024</t>
        </is>
      </c>
      <c r="F19" t="inlineStr">
        <is>
          <t>09-30-2024</t>
        </is>
      </c>
      <c r="G19" t="inlineStr">
        <is>
          <t>DISCHARGE MONITORING REPORTS RELATED</t>
        </is>
      </c>
      <c r="H19" t="inlineStr">
        <is>
          <t>INDUSTRIAL WASTEWATER</t>
        </is>
      </c>
      <c r="I19" t="inlineStr">
        <is>
          <t/>
        </is>
      </c>
      <c r="J19" t="inlineStr">
        <is>
          <t/>
        </is>
      </c>
      <c r="K19" t="inlineStr">
        <is>
          <t>DMR 2024 SEP MO PART A (783229) D-001</t>
        </is>
      </c>
      <c r="L19" t="inlineStr">
        <is>
          <t>POLK</t>
        </is>
      </c>
      <c r="M19" t="inlineStr">
        <is>
          <t>SWD</t>
        </is>
      </c>
      <c r="N19" t="inlineStr">
        <is>
          <t>14 KB</t>
        </is>
      </c>
      <c r="O19" t="inlineStr">
        <is>
          <t>1.0</t>
        </is>
      </c>
      <c r="P19" t="inlineStr">
        <is>
          <t>Y</t>
        </is>
      </c>
      <c r="Q19" t="inlineStr">
        <is>
          <t>09-30-2024</t>
        </is>
      </c>
      <c r="R19" t="inlineStr">
        <is>
          <t>OTIS_INSERT</t>
        </is>
      </c>
      <c r="S19" t="inlineStr">
        <is>
          <t/>
        </is>
      </c>
      <c r="T19" t="inlineStr">
        <is>
          <t/>
        </is>
      </c>
    </row>
    <row r="20">
      <c r="A20" s="4">
        <f>=HYPERLINK("https://depedms.dep.state.fl.us:443/Oculus/servlet/shell?command=view&amp;[guid=38.1337335.1]&amp;[profile=Sampling]","View Document (.pdf)")</f>
        <v>0.0</v>
      </c>
      <c r="B20" t="inlineStr">
        <is>
          <t>Document</t>
        </is>
      </c>
      <c r="C20" t="inlineStr">
        <is>
          <t>Sampling</t>
        </is>
      </c>
      <c r="D20" t="inlineStr">
        <is>
          <t>FL0029653</t>
        </is>
      </c>
      <c r="E20" t="inlineStr">
        <is>
          <t>10-01-2024</t>
        </is>
      </c>
      <c r="F20" t="inlineStr">
        <is>
          <t>10-29-2024</t>
        </is>
      </c>
      <c r="G20" t="inlineStr">
        <is>
          <t>DISCHARGE MONITORING REPORTS RELATED</t>
        </is>
      </c>
      <c r="H20" t="inlineStr">
        <is>
          <t>INDUSTRIAL WASTEWATER</t>
        </is>
      </c>
      <c r="I20" t="inlineStr">
        <is>
          <t/>
        </is>
      </c>
      <c r="J20" t="inlineStr">
        <is>
          <t/>
        </is>
      </c>
      <c r="K20" t="inlineStr">
        <is>
          <t>DMR 2024 OCT MO PART A (793783) D-001</t>
        </is>
      </c>
      <c r="L20" t="inlineStr">
        <is>
          <t>POLK</t>
        </is>
      </c>
      <c r="M20" t="inlineStr">
        <is>
          <t>SWD</t>
        </is>
      </c>
      <c r="N20" t="inlineStr">
        <is>
          <t>14 KB</t>
        </is>
      </c>
      <c r="O20" t="inlineStr">
        <is>
          <t>1.0</t>
        </is>
      </c>
      <c r="P20" t="inlineStr">
        <is>
          <t>Y</t>
        </is>
      </c>
      <c r="Q20" t="inlineStr">
        <is>
          <t>10-29-2024</t>
        </is>
      </c>
      <c r="R20" t="inlineStr">
        <is>
          <t>OTIS_INSERT</t>
        </is>
      </c>
      <c r="S20" t="inlineStr">
        <is>
          <t/>
        </is>
      </c>
      <c r="T20" t="inlineStr">
        <is>
          <t/>
        </is>
      </c>
    </row>
    <row r="21">
      <c r="A21" s="4">
        <f>=HYPERLINK("https://depedms.dep.state.fl.us:443/Oculus/servlet/shell?command=view&amp;[guid=38.1345961.1]&amp;[profile=Sampling]","View Document (.pdf)")</f>
        <v>0.0</v>
      </c>
      <c r="B21" t="inlineStr">
        <is>
          <t>Document</t>
        </is>
      </c>
      <c r="C21" t="inlineStr">
        <is>
          <t>Sampling</t>
        </is>
      </c>
      <c r="D21" t="inlineStr">
        <is>
          <t>FL0029653</t>
        </is>
      </c>
      <c r="E21" t="inlineStr">
        <is>
          <t>11-01-2024</t>
        </is>
      </c>
      <c r="F21" t="inlineStr">
        <is>
          <t>12-02-2024</t>
        </is>
      </c>
      <c r="G21" t="inlineStr">
        <is>
          <t>DISCHARGE MONITORING REPORTS RELATED</t>
        </is>
      </c>
      <c r="H21" t="inlineStr">
        <is>
          <t>INDUSTRIAL WASTEWATER</t>
        </is>
      </c>
      <c r="I21" t="inlineStr">
        <is>
          <t/>
        </is>
      </c>
      <c r="J21" t="inlineStr">
        <is>
          <t/>
        </is>
      </c>
      <c r="K21" t="inlineStr">
        <is>
          <t>DMR 2024 NOV MO PART A (797463) D-001</t>
        </is>
      </c>
      <c r="L21" t="inlineStr">
        <is>
          <t>POLK</t>
        </is>
      </c>
      <c r="M21" t="inlineStr">
        <is>
          <t>SWD</t>
        </is>
      </c>
      <c r="N21" t="inlineStr">
        <is>
          <t>14 KB</t>
        </is>
      </c>
      <c r="O21" t="inlineStr">
        <is>
          <t>1.0</t>
        </is>
      </c>
      <c r="P21" t="inlineStr">
        <is>
          <t>Y</t>
        </is>
      </c>
      <c r="Q21" t="inlineStr">
        <is>
          <t>12-02-2024</t>
        </is>
      </c>
      <c r="R21" t="inlineStr">
        <is>
          <t>OTIS_INSERT</t>
        </is>
      </c>
      <c r="S21" t="inlineStr">
        <is>
          <t/>
        </is>
      </c>
      <c r="T2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94140625" customWidth="true"/>
    <col min="2" max="2" width="11.8984375" customWidth="true"/>
  </cols>
  <sheetData>
    <row r="1">
      <c r="A1" s="1" t="inlineStr">
        <is>
          <t>Search Criteria</t>
        </is>
      </c>
      <c r="B1" s="1"/>
    </row>
    <row r="2">
      <c r="A2" s="1" t="inlineStr">
        <is>
          <t>Properties</t>
        </is>
      </c>
      <c r="B2" s="1" t="inlineStr">
        <is>
          <t>Values</t>
        </is>
      </c>
    </row>
    <row r="3">
      <c r="A3" s="2" t="inlineStr">
        <is>
          <t>Catalog</t>
        </is>
      </c>
      <c r="B3" t="inlineStr">
        <is>
          <t>Wastewater</t>
        </is>
      </c>
    </row>
    <row r="4">
      <c r="A4" s="2" t="inlineStr">
        <is>
          <t>Profiles</t>
        </is>
      </c>
      <c r="B4" t="inlineStr">
        <is>
          <t>Sampling</t>
        </is>
      </c>
    </row>
    <row r="5">
      <c r="A5" s="2" t="inlineStr">
        <is>
          <t>Type</t>
        </is>
      </c>
      <c r="B5" t="inlineStr">
        <is>
          <t>any</t>
        </is>
      </c>
    </row>
    <row r="6">
      <c r="A6" s="2" t="inlineStr">
        <is>
          <t>County</t>
        </is>
      </c>
      <c r="B6" t="inlineStr">
        <is>
          <t>POLK</t>
        </is>
      </c>
    </row>
    <row r="7">
      <c r="A7" s="2" t="inlineStr">
        <is>
          <t>District</t>
        </is>
      </c>
      <c r="B7" t="inlineStr">
        <is>
          <t>SWD</t>
        </is>
      </c>
    </row>
    <row r="8">
      <c r="A8" s="2" t="inlineStr">
        <is>
          <t>Facility-Site ID</t>
        </is>
      </c>
      <c r="B8" t="inlineStr">
        <is>
          <t>FL0029653</t>
        </is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2026-06-01T18:41:48Z</dcterms:created>
  <dc:creator>Apache POI</dc:creator>
</cp:coreProperties>
</file>